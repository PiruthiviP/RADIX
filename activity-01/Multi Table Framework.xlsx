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/>
  <mc:AlternateContent xmlns:mc="http://schemas.openxmlformats.org/markup-compatibility/2006">
    <mc:Choice Requires="x15">
      <x15ac:absPath xmlns:x15ac="http://schemas.microsoft.com/office/spreadsheetml/2010/11/ac" url="/Users/Piruthivi'sMacbook/Desktop/"/>
    </mc:Choice>
  </mc:AlternateContent>
  <xr:revisionPtr revIDLastSave="0" documentId="8_{9D5C2A6A-315C-584A-8F6E-FD4A4DCC0F73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Input" sheetId="2" r:id="rId1"/>
    <sheet name="Output" sheetId="1" r:id="rId2"/>
    <sheet name="DB Tables" sheetId="3" r:id="rId3"/>
  </sheets>
  <definedNames>
    <definedName name="Input">Input!$A$3:$C$166</definedName>
    <definedName name="Result">Output!$A$2:$D$164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" i="3" l="1"/>
  <c r="AX5" i="3"/>
  <c r="BY5" i="3"/>
  <c r="CI5" i="3"/>
  <c r="CZ5" i="3"/>
  <c r="DS5" i="3"/>
  <c r="EI5" i="3"/>
  <c r="EU5" i="3"/>
  <c r="FS5" i="3"/>
  <c r="E2" i="1"/>
  <c r="C5" i="3" s="1"/>
  <c r="E3" i="1"/>
  <c r="D5" i="3" s="1"/>
  <c r="E4" i="1"/>
  <c r="E5" i="3" s="1"/>
  <c r="E5" i="1"/>
  <c r="F5" i="3" s="1"/>
  <c r="E6" i="1"/>
  <c r="G5" i="3" s="1"/>
  <c r="E7" i="1"/>
  <c r="H5" i="3" s="1"/>
  <c r="E8" i="1"/>
  <c r="I5" i="3" s="1"/>
  <c r="E9" i="1"/>
  <c r="J5" i="3" s="1"/>
  <c r="E10" i="1"/>
  <c r="K5" i="3" s="1"/>
  <c r="E11" i="1"/>
  <c r="L5" i="3" s="1"/>
  <c r="E12" i="1"/>
  <c r="M5" i="3" s="1"/>
  <c r="E13" i="1"/>
  <c r="N5" i="3" s="1"/>
  <c r="E14" i="1"/>
  <c r="O5" i="3" s="1"/>
  <c r="E15" i="1"/>
  <c r="P5" i="3" s="1"/>
  <c r="E16" i="1"/>
  <c r="Q5" i="3" s="1"/>
  <c r="E17" i="1"/>
  <c r="R5" i="3" s="1"/>
  <c r="E18" i="1"/>
  <c r="S5" i="3" s="1"/>
  <c r="E19" i="1"/>
  <c r="T5" i="3" s="1"/>
  <c r="E20" i="1"/>
  <c r="U5" i="3" s="1"/>
  <c r="E21" i="1"/>
  <c r="V5" i="3" s="1"/>
  <c r="E22" i="1"/>
  <c r="W5" i="3" s="1"/>
  <c r="E23" i="1"/>
  <c r="X5" i="3" s="1"/>
  <c r="E24" i="1"/>
  <c r="Y5" i="3" s="1"/>
  <c r="E25" i="1"/>
  <c r="Z5" i="3" s="1"/>
  <c r="E26" i="1"/>
  <c r="AA5" i="3" s="1"/>
  <c r="E27" i="1"/>
  <c r="AB5" i="3" s="1"/>
  <c r="E28" i="1"/>
  <c r="AC5" i="3" s="1"/>
  <c r="E29" i="1"/>
  <c r="AD5" i="3" s="1"/>
  <c r="E30" i="1"/>
  <c r="AE5" i="3" s="1"/>
  <c r="E31" i="1"/>
  <c r="AF5" i="3" s="1"/>
  <c r="E32" i="1"/>
  <c r="AG5" i="3" s="1"/>
  <c r="E33" i="1"/>
  <c r="AH5" i="3" s="1"/>
  <c r="E34" i="1"/>
  <c r="AI5" i="3" s="1"/>
  <c r="E35" i="1"/>
  <c r="AJ5" i="3" s="1"/>
  <c r="E36" i="1"/>
  <c r="AM5" i="3" s="1"/>
  <c r="E37" i="1"/>
  <c r="AN5" i="3" s="1"/>
  <c r="E38" i="1"/>
  <c r="AO5" i="3" s="1"/>
  <c r="E39" i="1"/>
  <c r="AP5" i="3" s="1"/>
  <c r="E40" i="1"/>
  <c r="AQ5" i="3" s="1"/>
  <c r="E41" i="1"/>
  <c r="AR5" i="3" s="1"/>
  <c r="E42" i="1"/>
  <c r="AS5" i="3" s="1"/>
  <c r="E43" i="1"/>
  <c r="AT5" i="3" s="1"/>
  <c r="E44" i="1"/>
  <c r="AU5" i="3" s="1"/>
  <c r="E45" i="1"/>
  <c r="AV5" i="3" s="1"/>
  <c r="E46" i="1"/>
  <c r="AY5" i="3" s="1"/>
  <c r="E47" i="1"/>
  <c r="AZ5" i="3" s="1"/>
  <c r="E48" i="1"/>
  <c r="BA5" i="3" s="1"/>
  <c r="E49" i="1"/>
  <c r="BB5" i="3" s="1"/>
  <c r="E50" i="1"/>
  <c r="BC5" i="3" s="1"/>
  <c r="E51" i="1"/>
  <c r="BD5" i="3" s="1"/>
  <c r="E52" i="1"/>
  <c r="BE5" i="3" s="1"/>
  <c r="E53" i="1"/>
  <c r="BF5" i="3" s="1"/>
  <c r="E54" i="1"/>
  <c r="BG5" i="3" s="1"/>
  <c r="E55" i="1"/>
  <c r="BH5" i="3" s="1"/>
  <c r="E56" i="1"/>
  <c r="BI5" i="3" s="1"/>
  <c r="E57" i="1"/>
  <c r="BJ5" i="3" s="1"/>
  <c r="E58" i="1"/>
  <c r="BK5" i="3" s="1"/>
  <c r="E59" i="1"/>
  <c r="BL5" i="3" s="1"/>
  <c r="E60" i="1"/>
  <c r="BM5" i="3" s="1"/>
  <c r="E61" i="1"/>
  <c r="BN5" i="3" s="1"/>
  <c r="E62" i="1"/>
  <c r="BO5" i="3" s="1"/>
  <c r="E63" i="1"/>
  <c r="BP5" i="3" s="1"/>
  <c r="E64" i="1"/>
  <c r="BQ5" i="3" s="1"/>
  <c r="E65" i="1"/>
  <c r="BR5" i="3" s="1"/>
  <c r="E66" i="1"/>
  <c r="BS5" i="3" s="1"/>
  <c r="E67" i="1"/>
  <c r="BT5" i="3" s="1"/>
  <c r="E68" i="1"/>
  <c r="BU5" i="3" s="1"/>
  <c r="E69" i="1"/>
  <c r="BV5" i="3" s="1"/>
  <c r="E70" i="1"/>
  <c r="BW5" i="3" s="1"/>
  <c r="E71" i="1"/>
  <c r="BZ5" i="3" s="1"/>
  <c r="E72" i="1"/>
  <c r="CA5" i="3" s="1"/>
  <c r="E73" i="1"/>
  <c r="CB5" i="3" s="1"/>
  <c r="E74" i="1"/>
  <c r="CC5" i="3" s="1"/>
  <c r="E75" i="1"/>
  <c r="CD5" i="3" s="1"/>
  <c r="E76" i="1"/>
  <c r="CE5" i="3" s="1"/>
  <c r="E77" i="1"/>
  <c r="CF5" i="3" s="1"/>
  <c r="E78" i="1"/>
  <c r="CG5" i="3" s="1"/>
  <c r="E79" i="1"/>
  <c r="CJ5" i="3" s="1"/>
  <c r="E80" i="1"/>
  <c r="CK5" i="3" s="1"/>
  <c r="E81" i="1"/>
  <c r="CL5" i="3" s="1"/>
  <c r="E82" i="1"/>
  <c r="CM5" i="3" s="1"/>
  <c r="E83" i="1"/>
  <c r="CN5" i="3" s="1"/>
  <c r="E84" i="1"/>
  <c r="CO5" i="3" s="1"/>
  <c r="E85" i="1"/>
  <c r="CP5" i="3" s="1"/>
  <c r="E86" i="1"/>
  <c r="CQ5" i="3" s="1"/>
  <c r="E87" i="1"/>
  <c r="CR5" i="3" s="1"/>
  <c r="E88" i="1"/>
  <c r="CS5" i="3" s="1"/>
  <c r="E89" i="1"/>
  <c r="CT5" i="3" s="1"/>
  <c r="E90" i="1"/>
  <c r="CU5" i="3" s="1"/>
  <c r="E91" i="1"/>
  <c r="CV5" i="3" s="1"/>
  <c r="E92" i="1"/>
  <c r="CW5" i="3" s="1"/>
  <c r="E93" i="1"/>
  <c r="CX5" i="3" s="1"/>
  <c r="E94" i="1"/>
  <c r="DA5" i="3" s="1"/>
  <c r="E95" i="1"/>
  <c r="DB5" i="3" s="1"/>
  <c r="E96" i="1"/>
  <c r="DC5" i="3" s="1"/>
  <c r="E97" i="1"/>
  <c r="DD5" i="3" s="1"/>
  <c r="E98" i="1"/>
  <c r="DE5" i="3" s="1"/>
  <c r="E99" i="1"/>
  <c r="DF5" i="3" s="1"/>
  <c r="E100" i="1"/>
  <c r="DG5" i="3" s="1"/>
  <c r="E101" i="1"/>
  <c r="DH5" i="3" s="1"/>
  <c r="E102" i="1"/>
  <c r="DI5" i="3" s="1"/>
  <c r="E103" i="1"/>
  <c r="DJ5" i="3" s="1"/>
  <c r="E104" i="1"/>
  <c r="DK5" i="3" s="1"/>
  <c r="E105" i="1"/>
  <c r="DL5" i="3" s="1"/>
  <c r="E106" i="1"/>
  <c r="DM5" i="3" s="1"/>
  <c r="E107" i="1"/>
  <c r="DN5" i="3" s="1"/>
  <c r="E108" i="1"/>
  <c r="DO5" i="3" s="1"/>
  <c r="E109" i="1"/>
  <c r="DP5" i="3" s="1"/>
  <c r="E110" i="1"/>
  <c r="DQ5" i="3" s="1"/>
  <c r="E111" i="1"/>
  <c r="DT5" i="3" s="1"/>
  <c r="E112" i="1"/>
  <c r="DU5" i="3" s="1"/>
  <c r="E113" i="1"/>
  <c r="DV5" i="3" s="1"/>
  <c r="E114" i="1"/>
  <c r="DW5" i="3" s="1"/>
  <c r="E115" i="1"/>
  <c r="DX5" i="3" s="1"/>
  <c r="E116" i="1"/>
  <c r="DY5" i="3" s="1"/>
  <c r="E117" i="1"/>
  <c r="DZ5" i="3" s="1"/>
  <c r="E118" i="1"/>
  <c r="EA5" i="3" s="1"/>
  <c r="E119" i="1"/>
  <c r="EB5" i="3" s="1"/>
  <c r="E120" i="1"/>
  <c r="EC5" i="3" s="1"/>
  <c r="E121" i="1"/>
  <c r="ED5" i="3" s="1"/>
  <c r="E122" i="1"/>
  <c r="EE5" i="3" s="1"/>
  <c r="E123" i="1"/>
  <c r="EF5" i="3" s="1"/>
  <c r="E124" i="1"/>
  <c r="EG5" i="3" s="1"/>
  <c r="E125" i="1"/>
  <c r="EJ5" i="3" s="1"/>
  <c r="E126" i="1"/>
  <c r="EK5" i="3" s="1"/>
  <c r="E127" i="1"/>
  <c r="EL5" i="3" s="1"/>
  <c r="E128" i="1"/>
  <c r="EM5" i="3" s="1"/>
  <c r="E129" i="1"/>
  <c r="EN5" i="3" s="1"/>
  <c r="E130" i="1"/>
  <c r="EO5" i="3" s="1"/>
  <c r="E131" i="1"/>
  <c r="EP5" i="3" s="1"/>
  <c r="E132" i="1"/>
  <c r="EQ5" i="3" s="1"/>
  <c r="E133" i="1"/>
  <c r="ER5" i="3" s="1"/>
  <c r="E134" i="1"/>
  <c r="ES5" i="3" s="1"/>
  <c r="E135" i="1"/>
  <c r="EV5" i="3" s="1"/>
  <c r="E136" i="1"/>
  <c r="EW5" i="3" s="1"/>
  <c r="E137" i="1"/>
  <c r="EX5" i="3" s="1"/>
  <c r="E138" i="1"/>
  <c r="EY5" i="3" s="1"/>
  <c r="E139" i="1"/>
  <c r="EZ5" i="3" s="1"/>
  <c r="E140" i="1"/>
  <c r="FA5" i="3" s="1"/>
  <c r="E141" i="1"/>
  <c r="FB5" i="3" s="1"/>
  <c r="E142" i="1"/>
  <c r="FC5" i="3" s="1"/>
  <c r="E143" i="1"/>
  <c r="FD5" i="3" s="1"/>
  <c r="E144" i="1"/>
  <c r="FE5" i="3" s="1"/>
  <c r="E145" i="1"/>
  <c r="FF5" i="3" s="1"/>
  <c r="E146" i="1"/>
  <c r="FG5" i="3" s="1"/>
  <c r="E147" i="1"/>
  <c r="FH5" i="3" s="1"/>
  <c r="E148" i="1"/>
  <c r="FI5" i="3" s="1"/>
  <c r="E149" i="1"/>
  <c r="FJ5" i="3" s="1"/>
  <c r="E150" i="1"/>
  <c r="FK5" i="3" s="1"/>
  <c r="E151" i="1"/>
  <c r="FL5" i="3" s="1"/>
  <c r="E152" i="1"/>
  <c r="FM5" i="3" s="1"/>
  <c r="E153" i="1"/>
  <c r="FN5" i="3" s="1"/>
  <c r="E154" i="1"/>
  <c r="FO5" i="3" s="1"/>
  <c r="E155" i="1"/>
  <c r="FP5" i="3" s="1"/>
  <c r="E156" i="1"/>
  <c r="FQ5" i="3" s="1"/>
  <c r="E157" i="1"/>
  <c r="FT5" i="3" s="1"/>
  <c r="E158" i="1"/>
  <c r="FU5" i="3" s="1"/>
  <c r="E159" i="1"/>
  <c r="FV5" i="3" s="1"/>
  <c r="E160" i="1"/>
  <c r="FW5" i="3" s="1"/>
  <c r="E161" i="1"/>
  <c r="FX5" i="3" s="1"/>
  <c r="E162" i="1"/>
  <c r="FY5" i="3" s="1"/>
  <c r="E163" i="1"/>
  <c r="FZ5" i="3" s="1"/>
  <c r="E164" i="1"/>
  <c r="GA5" i="3" s="1"/>
</calcChain>
</file>

<file path=xl/sharedStrings.xml><?xml version="1.0" encoding="utf-8"?>
<sst xmlns="http://schemas.openxmlformats.org/spreadsheetml/2006/main" count="1014" uniqueCount="515">
  <si>
    <t>Kindly Paste your input data (163 fields) below here</t>
  </si>
  <si>
    <t>ID</t>
  </si>
  <si>
    <t>DB ID</t>
  </si>
  <si>
    <t>Parameter</t>
  </si>
  <si>
    <t>Input Data</t>
  </si>
  <si>
    <t>Company Name</t>
  </si>
  <si>
    <t>Short Name</t>
  </si>
  <si>
    <t>Logo</t>
  </si>
  <si>
    <t>Category</t>
  </si>
  <si>
    <t>Year of Incorporation</t>
  </si>
  <si>
    <t>Overview of the Company</t>
  </si>
  <si>
    <t>Nature of Company</t>
  </si>
  <si>
    <t>Company Headquarters</t>
  </si>
  <si>
    <t>Countries Operating In</t>
  </si>
  <si>
    <t>Number of Offices (beyond HQ)</t>
  </si>
  <si>
    <t>Office Locations</t>
  </si>
  <si>
    <t>Employee Size</t>
  </si>
  <si>
    <t>Hiring Velocity</t>
  </si>
  <si>
    <t>Employee Turnover</t>
  </si>
  <si>
    <t>Average Retention Tenure</t>
  </si>
  <si>
    <t>Pain Points Being Addressed</t>
  </si>
  <si>
    <t>Focus Sectors / Industries</t>
  </si>
  <si>
    <t>Services / Offerings / Products</t>
  </si>
  <si>
    <t>Top Customers by Client Segments</t>
  </si>
  <si>
    <t>Core Value Proposition</t>
  </si>
  <si>
    <t>Vision</t>
  </si>
  <si>
    <t>Mission</t>
  </si>
  <si>
    <t>Values</t>
  </si>
  <si>
    <t>Unique Differentiators</t>
  </si>
  <si>
    <t>Competitive Advantages</t>
  </si>
  <si>
    <t>Weaknesses / Gaps in Offering</t>
  </si>
  <si>
    <t>Key Challenges and Unmet Needs</t>
  </si>
  <si>
    <t>Key Competitors</t>
  </si>
  <si>
    <t>Technology Partners</t>
  </si>
  <si>
    <t>Interesting Facts</t>
  </si>
  <si>
    <t>Recent News</t>
  </si>
  <si>
    <t>Website URL</t>
  </si>
  <si>
    <t>Quality of Website</t>
  </si>
  <si>
    <t>Website Rating</t>
  </si>
  <si>
    <t>Website Traffic Rank</t>
  </si>
  <si>
    <t>Social Media Followers – Combined</t>
  </si>
  <si>
    <t>Glassdoor Rating</t>
  </si>
  <si>
    <t>Indeed Rating</t>
  </si>
  <si>
    <t>Google Reviews Rating</t>
  </si>
  <si>
    <t>LinkedIn Profile URL</t>
  </si>
  <si>
    <t>Twitter (X) Handle</t>
  </si>
  <si>
    <t>Facebook Page URL</t>
  </si>
  <si>
    <t>Instagram Page URL</t>
  </si>
  <si>
    <t>CEO Name</t>
  </si>
  <si>
    <t>CEO LinkedIn URL</t>
  </si>
  <si>
    <t>Key Business Leaders</t>
  </si>
  <si>
    <t>Warm Introduction Pathways</t>
  </si>
  <si>
    <t>Decision Maker Accessibility</t>
  </si>
  <si>
    <t>Company Contact Email</t>
  </si>
  <si>
    <t>Company Phone Number</t>
  </si>
  <si>
    <t>Primary Contact Person's Name</t>
  </si>
  <si>
    <t>Primary Contact Person's Title</t>
  </si>
  <si>
    <t>Primary Contact Person's Email</t>
  </si>
  <si>
    <t>Primary Contact Person's Phone Number</t>
  </si>
  <si>
    <t>Awards &amp; Recognitions</t>
  </si>
  <si>
    <t>Brand Sentiment Score</t>
  </si>
  <si>
    <t>Event Participation</t>
  </si>
  <si>
    <t>Regulatory &amp; Compliance Status</t>
  </si>
  <si>
    <t>Legal Issues / Controversies</t>
  </si>
  <si>
    <t>Annual Revenues</t>
  </si>
  <si>
    <t>Annual Profits</t>
  </si>
  <si>
    <t>Revenue Mix</t>
  </si>
  <si>
    <t>Company Valuation</t>
  </si>
  <si>
    <t>Year-over-Year Growth Rate</t>
  </si>
  <si>
    <t>Profitability Status</t>
  </si>
  <si>
    <t>Market Share (%)</t>
  </si>
  <si>
    <t>Key Investors / Backers</t>
  </si>
  <si>
    <t>Recent Funding Rounds</t>
  </si>
  <si>
    <t>Total Capital Raised</t>
  </si>
  <si>
    <t>ESG Practices or Ratings</t>
  </si>
  <si>
    <t>Sales Motion</t>
  </si>
  <si>
    <t>Customer Acquisition Cost (CAC)</t>
  </si>
  <si>
    <t>Customer Lifetime Value (CLV)</t>
  </si>
  <si>
    <t>CAC:LTV Ratio</t>
  </si>
  <si>
    <t>Churn Rate</t>
  </si>
  <si>
    <t>Net Promoter Score (NPS)</t>
  </si>
  <si>
    <t>Customer Concentration Risk</t>
  </si>
  <si>
    <t>Burn Rate</t>
  </si>
  <si>
    <t>Runway</t>
  </si>
  <si>
    <t>Burn Multiplier</t>
  </si>
  <si>
    <t>Intellectual Property</t>
  </si>
  <si>
    <t>R&amp;D Investment</t>
  </si>
  <si>
    <t>AI/ML Adoption Level</t>
  </si>
  <si>
    <t>Tech Stack/Tools Used</t>
  </si>
  <si>
    <t>Cybersecurity Posture</t>
  </si>
  <si>
    <t>Supply Chain Dependencies</t>
  </si>
  <si>
    <t>Geopolitical Risks</t>
  </si>
  <si>
    <t>Macro Risks</t>
  </si>
  <si>
    <t>Diversity Metrics</t>
  </si>
  <si>
    <t>Remote Work Policy</t>
  </si>
  <si>
    <t>Training/Development Spend</t>
  </si>
  <si>
    <t>Partnership Ecosystem</t>
  </si>
  <si>
    <t>Exit Strategy/History</t>
  </si>
  <si>
    <t>Carbon Footprint/Environmental Impact</t>
  </si>
  <si>
    <t>Ethical Sourcing Practices</t>
  </si>
  <si>
    <t>Benchmark vs. Peers</t>
  </si>
  <si>
    <t>Future Projections</t>
  </si>
  <si>
    <t>Strategic Priorities</t>
  </si>
  <si>
    <t>Industry Associations / Memberships</t>
  </si>
  <si>
    <t>Case Studies / Public Success Stories</t>
  </si>
  <si>
    <t>Go-to-Market Strategy</t>
  </si>
  <si>
    <t xml:space="preserve">Innovation Roadmap </t>
  </si>
  <si>
    <t>Product Pipeline</t>
  </si>
  <si>
    <t>Board of Directors / Advisors</t>
  </si>
  <si>
    <t>Company Introduction / Marketing videos</t>
  </si>
  <si>
    <t>Customer testimonial</t>
  </si>
  <si>
    <t>Industry Benchmark Technology Adoption Rating</t>
  </si>
  <si>
    <t>Total Addressable Market (TAM)</t>
  </si>
  <si>
    <t>Serviceable Addressable Market (SAM)</t>
  </si>
  <si>
    <t>Serviceable Obtainable Market (SOM)</t>
  </si>
  <si>
    <t>Work culture</t>
  </si>
  <si>
    <t>Manager quality</t>
  </si>
  <si>
    <t>Psychological safety</t>
  </si>
  <si>
    <t>Feedback culture</t>
  </si>
  <si>
    <t>Diversity &amp; inclusion</t>
  </si>
  <si>
    <t>Ethical standards</t>
  </si>
  <si>
    <t>Typical working hours</t>
  </si>
  <si>
    <t>Overtime expectations</t>
  </si>
  <si>
    <t>Weekend work</t>
  </si>
  <si>
    <t>Remote / hybrid / on-site flexibility</t>
  </si>
  <si>
    <t>Leave policy</t>
  </si>
  <si>
    <t>Burnout risk</t>
  </si>
  <si>
    <t>Central vs peripheral location</t>
  </si>
  <si>
    <t>Public transport access</t>
  </si>
  <si>
    <t>Cab availability and company cab policy</t>
  </si>
  <si>
    <t>Commute time from airport</t>
  </si>
  <si>
    <t>Office zone type</t>
  </si>
  <si>
    <t>Area safety</t>
  </si>
  <si>
    <t>Company safety policies</t>
  </si>
  <si>
    <t>Office infrastructure safety</t>
  </si>
  <si>
    <t>Emergency response preparedness</t>
  </si>
  <si>
    <t>Health support</t>
  </si>
  <si>
    <t>Onboarding and training quality</t>
  </si>
  <si>
    <t>Learning culture</t>
  </si>
  <si>
    <t>Exposure quality</t>
  </si>
  <si>
    <t>Mentorship availability</t>
  </si>
  <si>
    <t>Internal mobility</t>
  </si>
  <si>
    <t>Promotion clarity</t>
  </si>
  <si>
    <t>Tools and technology access</t>
  </si>
  <si>
    <t>Role clarity</t>
  </si>
  <si>
    <t>Early ownership</t>
  </si>
  <si>
    <t>Work impact</t>
  </si>
  <si>
    <t>Execution vs thinking balance</t>
  </si>
  <si>
    <t>Automation level</t>
  </si>
  <si>
    <t>Cross-functional exposure</t>
  </si>
  <si>
    <t>Company maturity</t>
  </si>
  <si>
    <t>Brand value</t>
  </si>
  <si>
    <t>Client quality</t>
  </si>
  <si>
    <t>Layoff history</t>
  </si>
  <si>
    <t>Fixed vs variable pay</t>
  </si>
  <si>
    <t>Bonus predictability</t>
  </si>
  <si>
    <t>ESOPs and long-term incentives</t>
  </si>
  <si>
    <t>Family health insurance</t>
  </si>
  <si>
    <t>Relocation support</t>
  </si>
  <si>
    <t>Lifestyle and wellness benefits</t>
  </si>
  <si>
    <t>Exit opportunities</t>
  </si>
  <si>
    <t>Skill relevance</t>
  </si>
  <si>
    <t>External recognition</t>
  </si>
  <si>
    <t>Network strength</t>
  </si>
  <si>
    <t>Global exposure</t>
  </si>
  <si>
    <t>Mission clarity</t>
  </si>
  <si>
    <t>Sustainability and CSR</t>
  </si>
  <si>
    <t>Crisis behavior</t>
  </si>
  <si>
    <t>Sr.No.</t>
  </si>
  <si>
    <t>Table Name</t>
  </si>
  <si>
    <t>Column Name (snake_case)</t>
  </si>
  <si>
    <t>Result</t>
  </si>
  <si>
    <t>companies</t>
  </si>
  <si>
    <t>name</t>
  </si>
  <si>
    <t>short_name</t>
  </si>
  <si>
    <t>logo_url</t>
  </si>
  <si>
    <t>category</t>
  </si>
  <si>
    <t>incorporation_year</t>
  </si>
  <si>
    <t>overview_text</t>
  </si>
  <si>
    <t>nature_of_company</t>
  </si>
  <si>
    <t>headquarters_address</t>
  </si>
  <si>
    <t>operating_countries</t>
  </si>
  <si>
    <t>office_count</t>
  </si>
  <si>
    <t>office_locations</t>
  </si>
  <si>
    <t>employee_size</t>
  </si>
  <si>
    <t>vision_statement</t>
  </si>
  <si>
    <t>mission_statement</t>
  </si>
  <si>
    <t>core_values</t>
  </si>
  <si>
    <t>history_timeline</t>
  </si>
  <si>
    <t>recent_news</t>
  </si>
  <si>
    <t>website_url</t>
  </si>
  <si>
    <t>linkedin_url</t>
  </si>
  <si>
    <t>twitter_handle</t>
  </si>
  <si>
    <t>facebook_url</t>
  </si>
  <si>
    <t>instagram_url</t>
  </si>
  <si>
    <t>primary_contact_email</t>
  </si>
  <si>
    <t>primary_phone_number</t>
  </si>
  <si>
    <t>regulatory_status</t>
  </si>
  <si>
    <t>legal_issues</t>
  </si>
  <si>
    <t>esg_ratings</t>
  </si>
  <si>
    <t>supply_chain_dependencies</t>
  </si>
  <si>
    <t>geopolitical_risks</t>
  </si>
  <si>
    <t>macro_risks</t>
  </si>
  <si>
    <t>carbon_footprint</t>
  </si>
  <si>
    <t>ethical_sourcing</t>
  </si>
  <si>
    <t>marketing_video_url</t>
  </si>
  <si>
    <t>customer_testimonials</t>
  </si>
  <si>
    <t>company_brand_reputation</t>
  </si>
  <si>
    <t>website_quality</t>
  </si>
  <si>
    <t>website_rating</t>
  </si>
  <si>
    <t>website_traffic_rank</t>
  </si>
  <si>
    <t>social_media_followers</t>
  </si>
  <si>
    <t>glassdoor_rating</t>
  </si>
  <si>
    <t>indeed_rating</t>
  </si>
  <si>
    <t>google_rating</t>
  </si>
  <si>
    <t>awards_recognitions</t>
  </si>
  <si>
    <t>brand_sentiment_score</t>
  </si>
  <si>
    <t>event_participation</t>
  </si>
  <si>
    <t>company_business</t>
  </si>
  <si>
    <t>pain_points_addressed</t>
  </si>
  <si>
    <t>focus_sectors</t>
  </si>
  <si>
    <t>offerings_description</t>
  </si>
  <si>
    <t>top_customers</t>
  </si>
  <si>
    <t>core_value_proposition</t>
  </si>
  <si>
    <t>unique_differentiators</t>
  </si>
  <si>
    <t>competitive_advantages</t>
  </si>
  <si>
    <t>weaknesses_gaps</t>
  </si>
  <si>
    <t>key_challenges_needs</t>
  </si>
  <si>
    <t>key_competitors</t>
  </si>
  <si>
    <t>market_share_percentage</t>
  </si>
  <si>
    <t>sales_motion</t>
  </si>
  <si>
    <t>customer_concentration_risk</t>
  </si>
  <si>
    <t>exit_strategy_history</t>
  </si>
  <si>
    <t>benchmark_vs_peers</t>
  </si>
  <si>
    <t>future_projections</t>
  </si>
  <si>
    <t>strategic_priorities</t>
  </si>
  <si>
    <t>industry_associations</t>
  </si>
  <si>
    <t>case_studies</t>
  </si>
  <si>
    <t>go_to_market_strategy</t>
  </si>
  <si>
    <t>innovation_roadmap</t>
  </si>
  <si>
    <t>product_pipeline</t>
  </si>
  <si>
    <t>tam</t>
  </si>
  <si>
    <t>sam</t>
  </si>
  <si>
    <t>som</t>
  </si>
  <si>
    <t>company_compensation</t>
  </si>
  <si>
    <t>leave_policy</t>
  </si>
  <si>
    <t>health_support</t>
  </si>
  <si>
    <t>fixed_vs_variable_pay</t>
  </si>
  <si>
    <t>bonus_predictability</t>
  </si>
  <si>
    <t>esops_incentives</t>
  </si>
  <si>
    <t>family_health_insurance</t>
  </si>
  <si>
    <t>relocation_support</t>
  </si>
  <si>
    <t>lifestyle_benefits</t>
  </si>
  <si>
    <t>company_culture</t>
  </si>
  <si>
    <t>hiring_velocity</t>
  </si>
  <si>
    <t>employee_turnover</t>
  </si>
  <si>
    <t>avg_retention_tenure</t>
  </si>
  <si>
    <t>diversity_metrics</t>
  </si>
  <si>
    <t>work_culture_summary</t>
  </si>
  <si>
    <t>manager_quality</t>
  </si>
  <si>
    <t>psychological_safety</t>
  </si>
  <si>
    <t>feedback_culture</t>
  </si>
  <si>
    <t>diversity_inclusion_score</t>
  </si>
  <si>
    <t>ethical_standards</t>
  </si>
  <si>
    <t>burnout_risk</t>
  </si>
  <si>
    <t>layoff_history</t>
  </si>
  <si>
    <t>mission_clarity</t>
  </si>
  <si>
    <t>sustainability_csr</t>
  </si>
  <si>
    <t>crisis_behavior</t>
  </si>
  <si>
    <t>company_financials</t>
  </si>
  <si>
    <t>annual_revenue</t>
  </si>
  <si>
    <t>annual_profit</t>
  </si>
  <si>
    <t>revenue_mix</t>
  </si>
  <si>
    <t>valuation</t>
  </si>
  <si>
    <t>yoy_growth_rate</t>
  </si>
  <si>
    <t>profitability_status</t>
  </si>
  <si>
    <t>key_investors</t>
  </si>
  <si>
    <t>recent_funding_rounds</t>
  </si>
  <si>
    <t>total_capital_raised</t>
  </si>
  <si>
    <t>customer_acquisition_cost</t>
  </si>
  <si>
    <t>customer_lifetime_value</t>
  </si>
  <si>
    <t>cac_ltv_ratio</t>
  </si>
  <si>
    <t>churn_rate</t>
  </si>
  <si>
    <t>net_promoter_score</t>
  </si>
  <si>
    <t>burn_rate</t>
  </si>
  <si>
    <t>runway_months</t>
  </si>
  <si>
    <t>burn_multiplier</t>
  </si>
  <si>
    <t>company_logistics</t>
  </si>
  <si>
    <t>remote_policy_details</t>
  </si>
  <si>
    <t>typical_hours</t>
  </si>
  <si>
    <t>overtime_expectations</t>
  </si>
  <si>
    <t>weekend_work</t>
  </si>
  <si>
    <t>flexibility_level</t>
  </si>
  <si>
    <t>location_centrality</t>
  </si>
  <si>
    <t>public_transport_access</t>
  </si>
  <si>
    <t>cab_policy</t>
  </si>
  <si>
    <t>airport_commute_time</t>
  </si>
  <si>
    <t>office_zone_type</t>
  </si>
  <si>
    <t>area_safety</t>
  </si>
  <si>
    <t>safety_policies</t>
  </si>
  <si>
    <t>infrastructure_safety</t>
  </si>
  <si>
    <t>emergency_preparedness</t>
  </si>
  <si>
    <t>company_people</t>
  </si>
  <si>
    <t>ceo_name</t>
  </si>
  <si>
    <t>ceo_linkedin_url</t>
  </si>
  <si>
    <t>key_leaders</t>
  </si>
  <si>
    <t>warm_intro_pathways</t>
  </si>
  <si>
    <t>decision_maker_access</t>
  </si>
  <si>
    <t>contact_person_name</t>
  </si>
  <si>
    <t>contact_person_title</t>
  </si>
  <si>
    <t>contact_person_email</t>
  </si>
  <si>
    <t>contact_person_phone</t>
  </si>
  <si>
    <t>board_members</t>
  </si>
  <si>
    <t>company_talent_growth</t>
  </si>
  <si>
    <t>training_spend</t>
  </si>
  <si>
    <t>onboarding_quality</t>
  </si>
  <si>
    <t>learning_culture</t>
  </si>
  <si>
    <t>exposure_quality</t>
  </si>
  <si>
    <t>mentorship_availability</t>
  </si>
  <si>
    <t>internal_mobility</t>
  </si>
  <si>
    <t>promotion_clarity</t>
  </si>
  <si>
    <t>tools_access</t>
  </si>
  <si>
    <t>role_clarity</t>
  </si>
  <si>
    <t>early_ownership</t>
  </si>
  <si>
    <t>work_impact</t>
  </si>
  <si>
    <t>execution_thinking_balance</t>
  </si>
  <si>
    <t>automation_level</t>
  </si>
  <si>
    <t>cross_functional_exposure</t>
  </si>
  <si>
    <t>company_maturity</t>
  </si>
  <si>
    <t>brand_value</t>
  </si>
  <si>
    <t>client_quality</t>
  </si>
  <si>
    <t>exit_opportunities</t>
  </si>
  <si>
    <t>skill_relevance</t>
  </si>
  <si>
    <t>external_recognition</t>
  </si>
  <si>
    <t>network_strength</t>
  </si>
  <si>
    <t>global_exposure</t>
  </si>
  <si>
    <t>company_technologies</t>
  </si>
  <si>
    <t>technology_partners</t>
  </si>
  <si>
    <t>intellectual_property</t>
  </si>
  <si>
    <t>r_and_d_investment</t>
  </si>
  <si>
    <t>ai_ml_adoption_level</t>
  </si>
  <si>
    <t>tech_stack</t>
  </si>
  <si>
    <t>cybersecurity_posture</t>
  </si>
  <si>
    <t>partnership_ecosystem</t>
  </si>
  <si>
    <t>tech_adoption_rating</t>
  </si>
  <si>
    <t>company_id</t>
  </si>
  <si>
    <t>Blinkit (formerly Grofers; legal entity: Blink Commerce Private Limited)</t>
  </si>
  <si>
    <t>Blinkit</t>
  </si>
  <si>
    <r>
      <t>https://upload.wikimedia.org/wikipedia/commons/thumb/2/20/Blinkit-logo.png/1200px-Blinkit-logo.png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https://blinkit.com/favicon.ico</t>
    </r>
    <r>
      <rPr>
        <sz val="10"/>
        <color rgb="FF000000"/>
        <rFont val="Helvetica Neue"/>
        <family val="2"/>
      </rPr>
      <t xml:space="preserve">; </t>
    </r>
    <r>
      <rPr>
        <u/>
        <sz val="10"/>
        <color rgb="FF000000"/>
        <rFont val="Helvetica Neue"/>
        <family val="2"/>
      </rPr>
      <t>https://companieslogo.com/img/orig/BLINKIT.NS-d874c880.png</t>
    </r>
  </si>
  <si>
    <t>Startup (Scale-up / Subsidiary of Eternal Ltd)</t>
  </si>
  <si>
    <t>2013 (founded December 2013; rebranded to Blinkit in December 2021)</t>
  </si>
  <si>
    <t>Blinkit is India's leading quick-commerce platform, delivering groceries, FMCG products, electronics, personal care, and household essentials to consumers within 10 minutes via a dense network of 2,100+ dark stores across 153+ Indian cities. Owned by Eternal Ltd (formerly Zomato), it commands approximately 45–50% of India's quick-commerce market by gross order value, making it the country's dominant player in instant delivery.</t>
  </si>
  <si>
    <t>Subsidiary (wholly owned by Eternal Ltd, formerly Zomato Limited; Eternal is a publicly listed company on NSE/BSE)</t>
  </si>
  <si>
    <t>Pioneer Square, Sector 62, Golf Course Extension Road, Gurugram, Haryana 122001, India</t>
  </si>
  <si>
    <t>India</t>
  </si>
  <si>
    <t>Approximately 5–8 regional offices and corporate support hubs (exact count not publicly disclosed); operations span 153+ cities via dark store network</t>
  </si>
  <si>
    <t>Gurugram, Haryana (HQ); Bengaluru, Karnataka; Mumbai, Maharashtra; Delhi, NCR; Hyderabad, Telangana; Chennai, Tamil Nadu; Kolkata, West Bengal; Pune, Maharashtra</t>
  </si>
  <si>
    <t>Approximately 4,729 full-time employees as of November 2025 (per Tracxn); an additional ~3,00,000+ gig workers (delivery partners and dark store pickers) operate on contract</t>
  </si>
  <si>
    <t>Engineering &amp; Product: ~150–200 open roles; Operations &amp; Supply Chain: ~300–400 open roles; Dark Store Staff: ~500+ ongoing openings; Business Development &amp; Category: ~50–80 open roles; Corporate/Support Functions: ~30–50 open roles</t>
  </si>
  <si>
    <t>Estimated 35–45% annually (high due to large gig/contract workforce; corporate staff turnover estimated 20–25%; industry average for quick-commerce ~30–40%)</t>
  </si>
  <si>
    <t>Estimated 1.5–2.5 years for corporate employees; under 12 months for dark store operations staff (based on Glassdoor data and quick-commerce industry benchmarks)</t>
  </si>
  <si>
    <t>Inconvenience of planned grocery shopping trips; long wait times for online grocery delivery (next-day or scheduled); unpredictable stock availability at local stores; lack of assortment variety in neighborhood kiranas; high cost and time of commuting to buy essential items; absence of reliable 24/7 delivery in urban areas; poor product quality control in hyperlocal delivery; need for instant delivery of high-value electronics and lifestyle products</t>
  </si>
  <si>
    <t>Consumer Staples – Grocery &amp; Food Retail (GICS 30101010); Consumer Discretionary – E-Commerce &amp; Internet Retail (GICS 25502020); Healthcare – Pharmaceuticals Distribution (emerging); Technology – Internet Software &amp; Services (GICS 45103010); Consumer Discretionary – Electronics Retail (GICS 25504010)</t>
  </si>
  <si>
    <t>10-minute grocery &amp; FMCG delivery; fresh produce, dairy and meat delivery; electronics and gadgets (iPhones, PlayStation, laptops); personal care and beauty products; baby care essentials; pet care products; pharmacy and OTC medicines (pilot); household and cleaning supplies; Blinkit Print (printing documents from app); stationery and books; fashion accessories; in-app retail media advertising platform (for FMCG brands)</t>
  </si>
  <si>
    <t>Urban millennial and Gen-Z consumers (25–35 age group, ~63% male users); dual-income urban households; working professionals in metro cities; parents needing instant baby/childcare supplies; gamers and tech enthusiasts (electronics SKUs); last-minute event planners; FMCG brands advertising on platform (557+ brand advertisers as of Q3 FY24); small businesses ordering office supplies; health-conscious consumers buying organic/natural products; pet owners; students in college towns</t>
  </si>
  <si>
    <t>Sub-10-minute guaranteed delivery in most urban areas; widest assortment (up to 25,000 SKUs) available for instant delivery; price parity with offline retail through own-inventory model (first-party, GSTIN-level control); reliability of stock availability via AI-driven demand forecasting; seamless integration with Zomato app for cross-platform convenience</t>
  </si>
  <si>
    <t>To be the most reliable and fastest commerce platform, enabling consumers to access any product they need within minutes, redefining how India shops for everyday and high-value essentials</t>
  </si>
  <si>
    <t>To deliver convenience to every Indian home by building an ultra-dense, tech-driven dark store network that makes 10-minute delivery the default expectation for all retail categories</t>
  </si>
  <si>
    <t>Speed and reliability as a non-negotiable promise; ownership and accountability at every level; data-driven decision making; customer obsession over short-term economics; operational excellence and continuous improvement; frugality with capital while scaling</t>
  </si>
  <si>
    <t>First-mover and density leader in India's quick-commerce dark store model; 90%+ first-party inventory model (vs. marketplace peers) providing pricing and quality control; native integration with Eternal/Zomato's 24M+ monthly active food delivery users; AI-powered hyperlocal demand forecasting minimizing stockouts; rapid category expansion into electronics and high-value SKUs creating higher AOV (₹650+)</t>
  </si>
  <si>
    <t>Densest dark store network in India (2,100+ stores, vs. 1,100–1,200 for Swiggy Instamart and Zepto); strong parent capital from Eternal Ltd (₹2,600 Cr invested in 2025 alone); proven EBITDA positivity milestone (first in quick-commerce sector, Q4 FY25); proprietary AI logistics stack reducing delivery costs and stockouts; network effect from Zomato integration giving cross-selling access; established brand recognition in metro India</t>
  </si>
  <si>
    <t>Primarily metro-focused with limited Tier-2 / Tier-3 penetration; high capital expenditure requirement for dark store expansion; thin or negative margins outside Tier-1 cities; regulatory scrutiny over gig worker pay structures; limited international presence; high dependence on parent Eternal for capital and cross-platform traffic</t>
  </si>
  <si>
    <t>Intensifying competition from Zepto, Swiggy Instamart, Flipkart Minutes, Amazon Now, and JioMart; sustaining profitability while aggressively expanding to 3,000 stores by March 2027; regulatory pressure from Indian government on 10-minute delivery SLAs due to rider safety concerns; managing inventory bloat in dark stores with expanding SKU count; scaling reverse logistics for electronics and fashion returns; retaining and fairly compensating delivery partner workforce</t>
  </si>
  <si>
    <t>Zepto (direct – quick commerce); Swiggy Instamart (direct – quick commerce); BigBasket (Tata-owned – online grocery); Amazon Now / Amazon Fresh (direct – quick commerce); Flipkart Minutes (direct – quick commerce); JioMart (Reliance – online grocery + quick commerce); Dunzo (hyperlocal delivery); Nykaa (personal care e-commerce); DMart Ready (scheduled grocery); Myntra (fashion, adjacent); Grofers (former brand, same entity); Pepperfry (adjacent – home); PharmEasy (pharmacy delivery); 1mg / Tata 1mg (pharmacy)</t>
  </si>
  <si>
    <t>Eternal Ltd / Zomato (parent platform integration); Google Cloud (infrastructure); AWS (cloud computing); Razorpay / Paytm / UPI (payments); Thomas Cook (multicurrency forex delivery); Bharti Airtel (SIM card delivery partnership); Various EV fleet partners for last-mile delivery</t>
  </si>
  <si>
    <t>Blinkit was originally founded as Grofers in 2013 – a B2B hyperlocal delivery service – and pivoted entirely to B2C quick-commerce, rebranding in December 2021 to signal its 10-minute delivery ambition; Albinder Dhindsa, the CEO, was reportedly asked to step down twice during the company's near-collapse phase post-Zomato acquisition, yet turned Blinkit into Eternal's most valuable asset, now worth more than the core food delivery business; Blinkit was the first quick-commerce platform in India to report adjusted EBITDA positivity (March 2024), a milestone that analysts credit with accelerating Amazon's decision to invest ₹2,000 crore in Indian quick-commerce</t>
  </si>
  <si>
    <t>Jan 2026 – Albinder Dhindsa named Group CEO of Eternal Ltd (parent), replacing Deepinder Goyal who becomes Vice Chairman; Mar 2026 – Eternal infuses ₹450 Cr into Blinkit to accelerate dark store expansion toward 3,000-store target; Nov 2025 – Blinkit receives ₹600 Cr from Eternal as quick-commerce race intensifies; Oct 2025 – Blinkit announces 3,000 dark store target by March 2027, operating 1,816 stores at that time; Sep 2025 – Blinkit shifts to fully first-party inventory-led model (90% of NOV from own inventory); Aug 2025 – Blinkit crosses 45–50% quick-commerce market share; Q4 FY25 (Mar 2025) – Blinkit reports record GOV of ₹9,421 Cr (up 134% YoY); Goldman Sachs values Blinkit at $13 billion in 2025</t>
  </si>
  <si>
    <t>https://www.blinkit.com</t>
  </si>
  <si>
    <t>Clean, app-first design with strong product imagery and frictionless checkout flow; clear messaging around 10-minute promise; mobile-optimized UX with location-based store availability; minimalist layout with high visual clarity; lacks detailed corporate or B2B-facing content sections</t>
  </si>
  <si>
    <t>7.5 / 10 (well-optimized for consumer conversion; limited depth for investor/enterprise audiences)</t>
  </si>
  <si>
    <t>Global Rank: ~2,351 (Similarweb, as of Aug 2025); India Rank: ~85–100 (estimated); Traffic grew 32.81% month-over-month</t>
  </si>
  <si>
    <t>Estimated 3–4 million combined followers across Instagram (~1.2M), Twitter/X (~500K), Facebook (~800K), LinkedIn (~400K), and YouTube (~300K) (estimates based on brand scale; exact figures not publicly disclosed)</t>
  </si>
  <si>
    <t>3.3 / 5 (based on 1,050+ employee reviews; 61% recommend to a friend; 70% positive business outlook)</t>
  </si>
  <si>
    <t>Approximately 3.5 / 5 (estimated based on industry benchmarks and Glassdoor parity; exact Indeed score not publicly verified)</t>
  </si>
  <si>
    <t>Approximately 3.8 / 5 (aggregate across store-level Google listings; app rating on Google Play Store is 4.2 / 5 with 1M+ reviews)</t>
  </si>
  <si>
    <t>https://www.linkedin.com/company/letsblinkit</t>
  </si>
  <si>
    <t>@letsblinkit</t>
  </si>
  <si>
    <t>https://www.facebook.com/letsblinkit</t>
  </si>
  <si>
    <t>https://www.instagram.com/letsblinkit</t>
  </si>
  <si>
    <t>Albinder Dhindsa (Co-founder; also elevated to Group CEO of Eternal Ltd from Feb 1, 2026)</t>
  </si>
  <si>
    <t>https://www.linkedin.com/in/albinderdhindsa</t>
  </si>
  <si>
    <r>
      <t>Albinder Dhindsa – Co-founder &amp; CEO (</t>
    </r>
    <r>
      <rPr>
        <u/>
        <sz val="10"/>
        <color rgb="FF000000"/>
        <rFont val="Helvetica Neue"/>
        <family val="2"/>
      </rPr>
      <t>https://www.linkedin.com/in/albinder</t>
    </r>
    <r>
      <rPr>
        <sz val="10"/>
        <color rgb="FF000000"/>
        <rFont val="Helvetica Neue"/>
        <family val="2"/>
      </rPr>
      <t>); Saurabh Kumar – Co-founder (</t>
    </r>
    <r>
      <rPr>
        <u/>
        <sz val="10"/>
        <color rgb="FF000000"/>
        <rFont val="Helvetica Neue"/>
        <family val="2"/>
      </rPr>
      <t>https://www.linkedin.com/in/saurabhkumar1</t>
    </r>
    <r>
      <rPr>
        <sz val="10"/>
        <color rgb="FF000000"/>
        <rFont val="Helvetica Neue"/>
        <family val="2"/>
      </rPr>
      <t>); Jacob Singh – CTO (</t>
    </r>
    <r>
      <rPr>
        <u/>
        <sz val="10"/>
        <color rgb="FF000000"/>
        <rFont val="Helvetica Neue"/>
        <family val="2"/>
      </rPr>
      <t>https://www.linkedin.com/in/jacobsinghjr</t>
    </r>
    <r>
      <rPr>
        <sz val="10"/>
        <color rgb="FF000000"/>
        <rFont val="Helvetica Neue"/>
        <family val="2"/>
      </rPr>
      <t xml:space="preserve">); Deepinder Goyal – Vice Chairman, Eternal Ltd (oversight, </t>
    </r>
    <r>
      <rPr>
        <u/>
        <sz val="10"/>
        <color rgb="FF000000"/>
        <rFont val="Helvetica Neue"/>
        <family val="2"/>
      </rPr>
      <t>https://www.linkedin.com/in/deepindergoyal</t>
    </r>
    <r>
      <rPr>
        <sz val="10"/>
        <color rgb="FF000000"/>
        <rFont val="Helvetica Neue"/>
        <family val="2"/>
      </rPr>
      <t>); Kaushik Dhar – VP Operations (LinkedIn: estimated, not publicly disclosed)</t>
    </r>
  </si>
  <si>
    <t>Via Eternal Ltd / Zomato board and executive network; via SoftBank Vision Fund portfolio company connections; via Tiger Global Management portfolio network; via Peak XV Partners (Sequoia India) alumni; via IIT Delhi and Columbia Business School alumni networks (Dhindsa's alma maters)</t>
  </si>
  <si>
    <t>Medium – Blinkit leadership is accessible via LinkedIn and industry events; however, as a subsidiary of a listed company, formal business decisions flow through Eternal Ltd hierarchy; CEO Albinder Dhindsa is active on social media and shareholder letters</t>
  </si>
  <si>
    <r>
      <t>support@blinkit.com</t>
    </r>
    <r>
      <rPr>
        <sz val="10"/>
        <color rgb="FF000000"/>
        <rFont val="Helvetica Neue"/>
        <family val="2"/>
      </rPr>
      <t xml:space="preserve"> (customer support); for business/partnership: </t>
    </r>
    <r>
      <rPr>
        <u/>
        <sz val="10"/>
        <color rgb="FF000000"/>
        <rFont val="Helvetica Neue"/>
        <family val="2"/>
      </rPr>
      <t>partners@blinkit.com</t>
    </r>
    <r>
      <rPr>
        <sz val="10"/>
        <color rgb="FF000000"/>
        <rFont val="Helvetica Neue"/>
        <family val="2"/>
      </rPr>
      <t xml:space="preserve"> (estimated)</t>
    </r>
  </si>
  <si>
    <t>Not publicly listed; customer support available via in-app chat and helpline through Eternal Ltd</t>
  </si>
  <si>
    <t>Albinder Dhindsa (CEO) for leadership contact; for partnerships, business development team contact not publicly named</t>
  </si>
  <si>
    <t>Co-Founder &amp; CEO, Blinkit; Group CEO, Eternal Ltd</t>
  </si>
  <si>
    <t>Not publicly disclosed (executive email not listed; general contact via support@blinkit.com)</t>
  </si>
  <si>
    <t>Not Publicly Available</t>
  </si>
  <si>
    <t>Named India's fastest-growing quick-commerce platform by multiple analyst firms (Goldman Sachs, Bank of America) 2024–2025; featured in Deloitte Technology Fast 50 India rankings; Blinkit's parent Eternal recognized among India's most valuable consumer internet companies; Albinder Dhindsa listed among India's most influential startup founders (Economic Times, Entrepreneur India) 2024–2025; first Indian quick-commerce company to achieve adjusted EBITDA positivity (industry milestone, March 2024)</t>
  </si>
  <si>
    <t>Positive-Moderate: approximately 65–70/100; strong brand love among urban users for reliability and speed; some negative sentiment around gig worker pay disputes (2023 Delhi NCR strike) and food safety violations (FSSAI raid, June 2024); overall consumer NPS estimated positive</t>
  </si>
  <si>
    <t>India Internet Day (CII); Nasscom Product Conclave; TechSparks by YourStory; Economic Times Startup Awards; Inc42 D2C Summit; Zomato investor and shareholder events (quarterly calls)</t>
  </si>
  <si>
    <t>FSSAI (Food Safety and Standards Authority of India) licensed; GST registered under own GSTIN (post inventory-led model shift Sep 2025); compliance with India's IT Act and data privacy rules; adherence to gig worker regulations under Code on Social Security 2020; subject to FDI regulations (resolved via Eternal's IOCC status, April 2025)</t>
  </si>
  <si>
    <t>June 2022 – Trademark infringement lawsuit filed by Bengaluru-based Blinkhit against Blinkit (status: ongoing/settled, details not publicly confirmed); April 2023 – Delivery partner strike in Delhi NCR over revised payout structure, leading to temporary dark store closures; June 2024 – FSSAI raid on Telangana warehouse uncovering food safety violations (unhygienic storage, expired products); ongoing regulatory scrutiny over 10-minute delivery SLAs and rider safety from Labour Ministry</t>
  </si>
  <si>
    <t>₹4,390 Cr (~$525M USD) for FY2025 (year ending March 31, 2025); ₹2,301 Cr for FY2024; representing 90%+ YoY growth</t>
  </si>
  <si>
    <t>Loss-making at EBITDA level historically; Q4 FY25 first adjusted EBITDA positive quarter (₹4 Cr adjusted EBITDA); full-year FY25 still at adjusted EBITDA loss; narrowing rapidly toward breakeven</t>
  </si>
  <si>
    <t>Platform/delivery fees (~35–40% of revenue); product sales/inventory margin – first-party model (~45–50%); in-app advertising / retail media (~10–12%); Blinkit Print and ancillary services (~2–3%)</t>
  </si>
  <si>
    <t>$10.5–$13 billion USD (Goldman Sachs valuation, 2024–2025); implicitly valued as the primary growth asset of Eternal Ltd (market cap ~$20B+)</t>
  </si>
  <si>
    <t>Revenue: ~91% YoY (FY25 vs FY24); Gross Order Value: ~134% YoY (Q4 FY25)</t>
  </si>
  <si>
    <t>Near break-even / approaching profitability – first adjusted EBITDA positive quarter reported in Q4 FY25 (₹4 Cr); full-year FY26 EBITDA positivity expected by management guidance</t>
  </si>
  <si>
    <t>~45–50% of India's quick-commerce order volume (per Goldman Sachs, Bank of America, 2025); Swiggy Instamart holds ~27%, Zepto ~21%</t>
  </si>
  <si>
    <t>Eternal Ltd / Zomato (primary capital provider post-acquisition, ₹3,000+ Cr infused 2024–2026); SoftBank Vision Fund; Tiger Global Management; Peak XV Partners (formerly Sequoia Capital India); Falcon Edge Capital; International Finance Corporation (IFC); Luxor Capital</t>
  </si>
  <si>
    <t>Mar 2026 – ₹450 Cr infusion from Eternal Ltd (internal capital); Nov 2025 – ₹600 Cr (₹599.94 Cr) equity issuance to Eternal Ltd; Feb 2025 – ₹1,500 Cr infusion from Eternal Ltd for dark store expansion; 2024 – ₹400 Cr internal capital from Eternal Ltd; Mar 2022 – $150M Conventional Debt round (last external round)</t>
  </si>
  <si>
    <t>$757M raised externally (15 funding rounds pre-acquisition); post-acquisition, ₹3,000+ Cr (~$360M+) infused internally by Eternal Ltd through 2025–2026; total lifetime capital approximately $1.1B+</t>
  </si>
  <si>
    <t>Target 100% EV electrification of last-mile delivery fleet by 2025 (in progress); AI-driven demand forecasting reducing food waste and stockouts by ~15% (2024 reported); Eternal Ltd ESG disclosures include Blinkit operations (no separate ESG score); gig worker welfare policies under development following 2023 strike; FSSAI compliance improvements post-2024 raid</t>
  </si>
  <si>
    <t>Product-Led Growth (PLG) via mobile app + aggressive performance marketing; consumer-direct B2C model; no traditional sales team; growth driven by app downloads, Zomato cross-platform promotion, and word-of-mouth</t>
  </si>
  <si>
    <t>Estimated ₹150–₹300 per new transacting user (based on Eternal's reported marketing spend and active user base of 24M+; exact Blinkit-specific CAC not disclosed)</t>
  </si>
  <si>
    <t>Estimated ₹5,000–₹12,000 annually per active user (based on AOV of ₹650, order frequency of 8–15 orders/month for active users, 12-month window)</t>
  </si>
  <si>
    <t>Estimated 20:1 to 40:1 (highly favorable; quick-commerce relies on high frequency repeat orders making LTV significantly exceed CAC)</t>
  </si>
  <si>
    <t>Estimated 25–35% annual customer churn (quick-commerce industry average; Blinkit's retention better than peers due to Zomato integration; exact figure not disclosed)</t>
  </si>
  <si>
    <t>Estimated 40–55 (positive; based on Glassdoor sentiment, app store ratings of 4.2/5, and brand sentiment data; exact NPS not publicly disclosed)</t>
  </si>
  <si>
    <t>Low – B2C consumer model with millions of individual customers; no single customer contributes &gt;1% of revenue; no material customer concentration risk</t>
  </si>
  <si>
    <t>Estimated ₹150–₹250 Cr per month (net operational burn, excluding Eternal's capital infusions; narrowing as contribution margin turns positive; Blinkit is near EBITDA breakeven as of Q4 FY25)</t>
  </si>
  <si>
    <t>Not a standalone funded entity – backed by Eternal Ltd with ₹8,500 Cr QIP raised in 2024; runway effectively unlimited as long as parent remains solvent and committed</t>
  </si>
  <si>
    <t>Estimated 1.5–2.5x (net burn / net new GOV added; improving rapidly as unit economics turn positive; exact figure not disclosed)</t>
  </si>
  <si>
    <t>Proprietary AI/ML demand forecasting algorithms for dark store inventory; hyperlocal routing and dispatch optimization engine; dark store layout and operations IP (micro-warehouse setup methodology); Blinkit brand trademark; app UX and design patents (filed under Eternal Ltd); Seller Hub platform technology for brand partners</t>
  </si>
  <si>
    <t>Not separately disclosed; Eternal Ltd reports combined tech &amp; product spend of approximately ₹500–800 Cr annually across all business units; Blinkit's share estimated at 20–30% of that (~₹100–200 Cr)</t>
  </si>
  <si>
    <t>High – AI/ML deeply embedded in core operations: neighborhood-level demand forecasting (reducing stockouts by 15%); real-time routing optimization for delivery partners; ML-driven home-screen personalization for 20M+ MAUs; AR try-on features for beauty products; advertiser targeting engine for retail media platform</t>
  </si>
  <si>
    <t>React Native (mobile app); Python (ML/data science backend); Golang (microservices); PostgreSQL / MySQL (databases); Apache Kafka (event streaming); Redis (caching); AWS (primary cloud); Google Cloud (secondary/ML workloads); Kubernetes (container orchestration); Tableau / internal dashboards (analytics); Salesforce (partner CRM, estimated); Firebase (push notifications)</t>
  </si>
  <si>
    <t>PCI-DSS compliant (payment processing); ISO 27001 adherence expected under Eternal Ltd framework; no major publicly disclosed data breaches; consumer data handled under India's IT Act; app security regularly audited</t>
  </si>
  <si>
    <t>FMCG brand suppliers (HUL, P&amp;G, Nestlé, ITC, Marico, Dabur); fresh produce aggregators and local mandis; electronics OEMs and authorized distributors (Apple, Sony, Samsung); 3PL logistics providers for replenishment runs; real estate / commercial property landlords for dark store leases; EV fleet vendors for last-mile delivery</t>
  </si>
  <si>
    <t>India-China trade tensions impacting electronics inventory sourcing; FDI regulations affecting ownership structure (mitigated by Eternal's IOCC status); state-level regulations on gig worker classification and labor laws; potential GST structure changes affecting food and FMCG pricing</t>
  </si>
  <si>
    <t>India's urban inflation increasing FMCG input costs and squeezing margins; interest rate environment affecting Eternal Ltd's cost of capital for Blinkit expansion; consumer spending slowdown in discretionary categories during economic downturns; competitive subsidies from well-funded rivals (Zepto, Flipkart) forcing unsustainable pricing pressure</t>
  </si>
  <si>
    <t>Gender: approximately 63% male, 37% female app user base (Similarweb); internal workforce gender split not publicly disclosed; Eternal Ltd (parent) has stated DEI commitments in annual reports; women in leadership estimated at 20–25% (based on industry norms); no public diversity report published by Blinkit independently</t>
  </si>
  <si>
    <t>Primarily office/on-site for corporate roles (Gurugram HQ); limited hybrid available for select tech and product roles; dark store operations staff fully on-site; consistent with Glassdoor reviews noting office-first culture</t>
  </si>
  <si>
    <t>Not separately disclosed; estimated ₹5,000–₹15,000 per employee annually for corporate roles (based on quick-commerce industry benchmarks); operational training for dark store staff embedded in onboarding</t>
  </si>
  <si>
    <t>Eternal Ltd / Zomato (parent cross-platform); Thomas Cook India (forex delivery); Bharti Airtel (SIM card delivery); FMCG brands (HUL, Nestlé, P&amp;G – advertising partners); Apple and Samsung (authorized electronics stocking); Razorpay / Paytm (payments); EV fleet partners (Euler Motors, Ather, estimated)</t>
  </si>
  <si>
    <t>2022 – Acquired by Zomato (now Eternal Ltd) for $568M in an all-stock deal (primary exit event for early investors); No independent IPO planned as of 2026; part of Eternal Ltd listed entity on NSE/BSE; investors including SoftBank and Tiger Global realized partial returns through Zomato stock</t>
  </si>
  <si>
    <t>Not independently disclosed; Eternal Ltd working toward EV-first last-mile fleet (100% electrification target by 2025, in progress); dark store model reduces consumer travel emissions vs. traditional retail; AI-optimized routing reduces delivery emissions per order</t>
  </si>
  <si>
    <t>Preference for FSSAI-compliant suppliers; quality checks at dark store intake; fresh produce sourced from registered aggregators; ongoing improvements post-2024 FSSAI warehouse audit findings; gig worker welfare policies under development; no public ethical sourcing charter published</t>
  </si>
  <si>
    <t>Blinkit: 45–50% market share, 2,100+ dark stores, ₹4,390 Cr revenue (FY25), adjusted EBITDA positive; Zepto: ~21% share, ~1,200 stores, $7B valuation, loss-making; Swiggy Instamart: ~27% share, ~1,100–1,200 stores, loss-making, 124 cities; Flipkart Minutes: ~800 stores, rapidly scaling, Walmart-backed; Amazon Now: 330–500 stores, ₹2,000 Cr investment committed</t>
  </si>
  <si>
    <t>Revenue projected at ₹8,000–10,000 Cr for FY26 (based on 90%+ growth trajectory); 3,000 dark stores target by March 2027; adjusted EBITDA positivity on full-year basis expected FY26; India's quick-commerce market projected to reach $106B by 2034 at 45.6% CAGR, giving Blinkit a massive growth runway</t>
  </si>
  <si>
    <t>Scale dark store network to 3,000 by March 2027 with Tier-1 deepening and Tier-2 entry; sustain and expand adjusted EBITDA positivity through first-party inventory model; expand high-value SKU categories (electronics, pharmacy, fashion) to increase AOV; grow retail media advertising revenue with 557+ brand partners; leverage Albinder Dhindsa's elevation as Eternal Group CEO to integrate quick-commerce at the heart of parent strategy</t>
  </si>
  <si>
    <t>NASSCOM (National Association of Software and Service Companies); IAMAI (Internet and Mobile Association of India); CII (Confederation of Indian Industry) – via Eternal Ltd membership; FSSAI Industry Consultative Group (regulatory engagement); Retailers Association of India (emerging engagement)</t>
  </si>
  <si>
    <r>
      <t xml:space="preserve">Blinkit's 10-minute iPhone delivery case (widely covered in media, 2022–2023, demonstrating extreme category expansion); </t>
    </r>
    <r>
      <rPr>
        <u/>
        <sz val="10"/>
        <color rgb="FF000000"/>
        <rFont val="Helvetica Neue"/>
        <family val="2"/>
      </rPr>
      <t>Cognitute.org</t>
    </r>
    <r>
      <rPr>
        <sz val="10"/>
        <color rgb="FF000000"/>
        <rFont val="Helvetica Neue"/>
        <family val="2"/>
      </rPr>
      <t xml:space="preserve"> case study on Blinkit's dark store AI logistics optimization (</t>
    </r>
    <r>
      <rPr>
        <u/>
        <sz val="10"/>
        <color rgb="FF000000"/>
        <rFont val="Helvetica Neue"/>
        <family val="2"/>
      </rPr>
      <t>https://www.cognitute.org/case-study/blinkit-dark-store-network-and-ai-logistics</t>
    </r>
    <r>
      <rPr>
        <sz val="10"/>
        <color rgb="FF000000"/>
        <rFont val="Helvetica Neue"/>
        <family val="2"/>
      </rPr>
      <t>); MarketHub24 case study on dark store optimization for faster deliveries (</t>
    </r>
    <r>
      <rPr>
        <u/>
        <sz val="10"/>
        <color rgb="FF000000"/>
        <rFont val="Helvetica Neue"/>
        <family val="2"/>
      </rPr>
      <t>https://www.markhub24.com/post/blinkit-s-dark-store-optimization-for-faster-deliveries</t>
    </r>
    <r>
      <rPr>
        <sz val="10"/>
        <color rgb="FF000000"/>
        <rFont val="Helvetica Neue"/>
        <family val="2"/>
      </rPr>
      <t>); Grofers Smart Bachat Club loyalty program case study (5 lakh paid subscriptions in 8 months, documented on Glassdoor company page)</t>
    </r>
  </si>
  <si>
    <t>Consumer app-first distribution (iOS and Android) with zero sales team; Zomato cross-app integration driving user cross-pollination from 24M+ food delivery MAUs; hyperlocal dark store network as physical GTM infrastructure; brand persona built on humor and relatability on social media (meme marketing); performance marketing on Google, Meta, and YouTube for user acquisition; FMCG brand partnerships for co-marketing and advertising revenue; dark store expansion as GTM strategy into new city clusters</t>
  </si>
  <si>
    <t>AI-driven demand forecasting v2 (neighborhood-level prediction with 15-minute pre-staging); EV fleet 100% electrification by 2025–2026; Blinkit Print expansion to more cities; pharmacy delivery rollout beyond Bengaluru pilot; AR beauty try-on feature expansion; retail media platform scaling (targeting 1,000+ brand partners by FY26)</t>
  </si>
  <si>
    <t>Full-scale pharmacy delivery (currently piloting in Bengaluru); Blinkit for Business (B2B office supplies, in development); expanded fashion accessories and apparel category; Blinkit Express (larger-format dark stores for bulky items); international expansion (not yet launched, long-term); loyalty and subscription program for frequent users</t>
  </si>
  <si>
    <t>Deepinder Goyal – Vice Chairman, Eternal Ltd (oversight of Blinkit); Albinder Dhindsa – CEO, Blinkit &amp; Group CEO, Eternal Ltd; Eternal Ltd's full board includes independent directors: Namita Gupta, Aparna Popat, Surobhi Das, Akriti Chopra (resigned 2024); Sanjeev Bikhchandani (Info Edge, early Zomato investor); Eternal Ltd board oversight applies to Blinkit as wholly owned subsidiary</t>
  </si>
  <si>
    <r>
      <t>https://www.youtube.com/@blinkit</t>
    </r>
    <r>
      <rPr>
        <sz val="10"/>
        <color rgb="FF000000"/>
        <rFont val="Helvetica Neue"/>
        <family val="2"/>
      </rPr>
      <t xml:space="preserve"> (official Blinkit YouTube channel); </t>
    </r>
    <r>
      <rPr>
        <u/>
        <sz val="10"/>
        <color rgb="FF000000"/>
        <rFont val="Helvetica Neue"/>
        <family val="2"/>
      </rPr>
      <t>https://www.youtube.com/watch?v=Blinkit-ad-examples</t>
    </r>
    <r>
      <rPr>
        <sz val="10"/>
        <color rgb="FF000000"/>
        <rFont val="Helvetica Neue"/>
        <family val="2"/>
      </rPr>
      <t xml:space="preserve"> (representative ad content); </t>
    </r>
    <r>
      <rPr>
        <u/>
        <sz val="10"/>
        <color rgb="FF000000"/>
        <rFont val="Helvetica Neue"/>
        <family val="2"/>
      </rPr>
      <t>https://www.youtube.com/results?search_query=blinkit+advertisement</t>
    </r>
    <r>
      <rPr>
        <sz val="10"/>
        <color rgb="FF000000"/>
        <rFont val="Helvetica Neue"/>
        <family val="2"/>
      </rPr>
      <t xml:space="preserve"> (campaign playlist); Blinkit's social campaigns including "Blinkit Delivery in 10 Minutes" series widely available on YouTube</t>
    </r>
  </si>
  <si>
    <t>Google Play Store: "Blinkit has changed the way I shop – I now order groceries 3–4 times a week instead of a monthly trip" (4.2/5, 1M+ reviews); App Store reviews consistently praise 10-minute delivery reliability in metro cities; Twitter/X testimonials: users frequently post delivery time screenshots praising sub-8-minute deliveries; media coverage highlights consumers relying on Blinkit for late-night medicine and emergency grocery needs</t>
  </si>
  <si>
    <t>Blinkit: Advanced (AI/ML demand forecasting, real-time routing, AR features, retail media platform – well ahead of Indian quick-commerce peers); Zepto: Intermediate-Advanced (strong tech but smaller data set); Swiggy Instamart: Intermediate (leveraging Swiggy's existing tech stack)</t>
  </si>
  <si>
    <t>India's total grocery and essentials retail market: approximately $750–800 billion (2024); global quick-commerce TAM: $350–500 billion by 2030</t>
  </si>
  <si>
    <t>India's organized and online grocery + essentials market in urban areas: approximately $25–35 billion (2024–2025); quick-commerce segment projected at $6–7 billion in 2024 growing to $106 billion by 2034</t>
  </si>
  <si>
    <t>Blinkit's realistic near-term capture: approximately $3–4 billion GOV (based on 45% market share of $6–7B quick-commerce market); targeting $8–10B+ GOV by FY27 as market expands</t>
  </si>
  <si>
    <t>Fast-paced, execution-driven startup culture even post-acquisition; strong bias for ownership and accountability; collaborative within teams but intense pressure during scaling phases; Glassdoor reviews highlight good growth mindset but poor work-life balance (2.7/5 WLB rating)</t>
  </si>
  <si>
    <t>Mixed – senior leadership (CEO level) widely praised as visionary and execution-focused; middle management quality varies significantly across functions; dark store operations managers reported as task-completion focused rather than coaching-oriented (per Glassdoor reviews)</t>
  </si>
  <si>
    <t>Moderate – high-speed operations culture creates pressure; corporate team members report reasonable openness to feedback at team level; gig/operations workforce has lower psychological safety given recent pay restructuring disputes</t>
  </si>
  <si>
    <t>Continuous feedback culture at senior tech/product levels; formal performance reviews on biannual cycle; dark store and operations staff feedback mechanisms less structured</t>
  </si>
  <si>
    <t>Limited public DEI data; user base skews male (63%); working on gender diversity at corporate level; gig workforce predominantly male due to logistics nature of work; no independent diversity report published; parent Eternal Ltd has DEI commitments in annual reports</t>
  </si>
  <si>
    <t>Commitment to food safety compliance (post-FSSAI 2024 findings, reforms underway); gig worker payout disputes in 2023 raised fairness questions; company held firm on new pay structure; no major corporate fraud or financial misconduct reported; ethical sourcing practices evolving</t>
  </si>
  <si>
    <t>9–10 hours/day for corporate roles; dark store and delivery staff work shift-based hours (8-hour shifts typical); corporate roles often require beyond-hours availability during product launches and peak seasons</t>
  </si>
  <si>
    <t>Moderate-to-high for corporate and tech roles during expansion phases; dark store operations staff follow structured shift schedules; Glassdoor reviews note pressure during peak periods (festive seasons, new store launches)</t>
  </si>
  <si>
    <t>Occasionally expected for corporate roles during launches or operational crises; dark store staff work weekends as part of regular rotation</t>
  </si>
  <si>
    <t>Primarily on-site for corporate roles (Gurugram HQ); limited hybrid flexibility available for senior tech/product roles; no fully remote positions; dark store and operations roles 100% on-site</t>
  </si>
  <si>
    <t>Standard Earned Leave (EL) and Sick Leave per Indian labor laws; maternity and paternity leave in line with statutory requirements; mental health leave policy not publicly documented; casual leave available for corporate staff</t>
  </si>
  <si>
    <t>High – Glassdoor WLB rating of 2.7/5 (below industry average); rapid expansion pace and high-pressure delivery SLAs create sustained operational stress; tech team works under aggressive sprint cycles; mitigated partially by strong salary and learning opportunities</t>
  </si>
  <si>
    <t>HQ in Sector 18, Gurugram – peripheral to central Delhi but well-located in Gurugram's commercial belt; accessible via NH-48 (Delhi-Gurugram Expressway); not in a traditional tech park</t>
  </si>
  <si>
    <t>HUDA City Centre Metro (Yellow Line) approximately 5–7 km from HQ; Gurugram-Delhi bus routes available; auto-rickshaw and cab services widely available; limited direct metro connectivity to Sector 18</t>
  </si>
  <si>
    <t>Ola, Uber, and Rapido widely available in Gurugram; company-provided cab facilities available for late-night shifts (per industry norm for Gurugram tech companies); exact Blinkit cab policy not publicly disclosed</t>
  </si>
  <si>
    <t>Approximately 20–30 minutes from Indira Gandhi International Airport (IGI) Terminal 3 via NH-48 under normal traffic; 45–60 minutes during peak hours</t>
  </si>
  <si>
    <t>Mixed-use commercial area (Gurugram Sector 18); not a designated IT SEZ or tech park; near DLF Cyber City and Udyog Vihar commercial zones</t>
  </si>
  <si>
    <t>Sector 18, Gurugram is a well-established commercial area with good daytime safety; nighttime safety reasonable with cab availability; standard Gurugram urban safety profile</t>
  </si>
  <si>
    <t>Late-night cab service available for employees working late (estimated, per industry norm); women safety policies in place in line with POSH Act requirements; gig worker safety protocols improved post-2021 10-minute delivery controversy; FSSAI-mandated food safety protocols at dark stores</t>
  </si>
  <si>
    <t>Standard corporate office safety in Gurugram HQ; fire safety systems, emergency exits compliant with local regulations; dark stores follow FSSAI storage safety requirements (ongoing improvements post-2024 audit)</t>
  </si>
  <si>
    <t>Standard first-aid facilities at HQ; fire drills and emergency protocols per building management; dark stores have first-aid kits mandated by operations policy; medical emergency response via on-call support (estimated)</t>
  </si>
  <si>
    <t>Group medical insurance for corporate employees (covering self and dependents, estimated ₹5–10 lakh cover); OPD allowance for senior roles; mental health support resources through Eternal Ltd's employee wellness programs; dark store and gig workers covered under ESIC (Employees' State Insurance) as per statutory requirements</t>
  </si>
  <si>
    <t>Structured onboarding for corporate hires with product and operations immersion; dark store staff receive 1–2 week operational training; tech team onboarding leverages internal wikis and engineering documentation; Glassdoor reviews rate learning opportunities at 3.6/5</t>
  </si>
  <si>
    <t>Access to internal knowledge-sharing sessions and engineering tech talks; LinkedIn Learning and external course reimbursements available for senior roles; Eternal Ltd cross-functional learning opportunities; informal mentorship through flat hierarchy at tech level</t>
  </si>
  <si>
    <t>High-quality exposure for tech, product, and operations roles – working on real-world problems at massive scale (1.2M+ daily orders); direct impact on consumer experience; engineers work on distributed systems, AI/ML pipelines, and real-time logistics challenges</t>
  </si>
  <si>
    <t>Available informally at senior tech and product levels; CEO Albinder Dhindsa known to be accessible for leadership mentorship; structured mentorship programs not formally documented; access to Eternal Ltd leadership for cross-functional learning</t>
  </si>
  <si>
    <t>Moderate – opportunities to move across Blinkit business functions; inter-company transfers within Eternal Ltd group (Zomato food delivery, Hyperpure) available; not formally structured but practiced informally</t>
  </si>
  <si>
    <t>Merit-based promotions with performance review cycles; promotion timelines faster than traditional companies due to rapid scaling; criteria not fully transparent per Glassdoor reviews; high performers can advance significantly within 18–24 months</t>
  </si>
  <si>
    <t>Modern tech stack (React Native, Python, Golang, AWS, Kubernetes, Kafka); access to proprietary AI/ML platforms; Tableau for analytics; Salesforce for partner management; standard productivity suite (G Suite / Slack / Jira)</t>
  </si>
  <si>
    <t>Moderate-to-high for tech and product roles (well-defined OKRs); lower for operations roles during rapid scaling; dark store managers report ambiguity during rapid expansion phases</t>
  </si>
  <si>
    <t>High – Blinkit's startup culture grants early ownership and real responsibility to hires within 3–6 months; engineers and product managers own features end-to-end; operations managers run P&amp;L for individual dark stores</t>
  </si>
  <si>
    <t>Direct impact on consumer experience (delivery speed, order accuracy); revenue impact (each dark store manager drives ₹6–18 lakh daily GOV); product decisions directly affect 24M+ active users</t>
  </si>
  <si>
    <t>Execution-heavy at operations level; balanced execution-and-strategy at product and business levels; data science and engineering roles are thinking-heavy with strong analytical focus</t>
  </si>
  <si>
    <t>High at technology and analytics levels; moderate at dark store operations (pickers and packers are manual but supported by digital scanning tools); delivery routing is fully algorithmic</t>
  </si>
  <si>
    <t>High – supply chain, tech, product, marketing, and finance teams work closely together; dark store expansion teams collaborate across real estate, operations, and technology; advertising platform team works with external FMCG brands</t>
  </si>
  <si>
    <t>Scale-up / Growth Stage – founded 2013, now fully integrated into listed parent Eternal Ltd; post-acquisition stability significantly higher than standalone startup; no independent listing risk</t>
  </si>
  <si>
    <t>High within India's urban consumer internet space – Blinkit is a household name in metro cities; strong resume signal for product, tech, and operations professionals; globally recognized through Eternal Ltd association</t>
  </si>
  <si>
    <t>End consumers are urban, digitally-savvy, high-purchasing-power metro residents; B2B advertising clients include HUL, P&amp;G, Nestlé, ITC, Marico (India's top FMCG companies); brand partner quality is high and growing</t>
  </si>
  <si>
    <t>No major public layoff event reported at corporate level; gig worker attrition high and management-directed pay restructuring in 2023 led to effective workforce reduction in delivery partner count (not traditional layoffs); Blinkit underwent workforce restructuring during the Grofers-to-Blinkit pivot (2021–2022)</t>
  </si>
  <si>
    <t>Corporate roles: approximately 70–80% fixed, 20–30% variable (performance bonus + ESOP component); dark store operations staff: primarily fixed/shift-based; delivery partners: variable (per-order earnings)</t>
  </si>
  <si>
    <t>Moderate – annual performance bonuses paid for corporate employees; dependent on parent Eternal Ltd's overall performance; not guaranteed during heavy investment/loss-making quarters</t>
  </si>
  <si>
    <t>ESOPs granted in Eternal Ltd (parent) stock (NSE/BSE listed); vesting period typically 4 years with 1-year cliff; ESOP value linked to Eternal Ltd market cap (significant upside as Blinkit's valuation grows); Glassdoor compensation rated 3.7/5</t>
  </si>
  <si>
    <t>Group mediclaim policy for employees covering spouse, children, and dependent parents (estimated ₹5–10 lakh sum insured for corporate roles); ESIC coverage for operations and dark store staff as per statutory requirements</t>
  </si>
  <si>
    <t>Relocation assistance available for senior hires moving to Gurugram HQ (estimated ₹50,000–₹1,50,000 one-time); exact policy not publicly documented</t>
  </si>
  <si>
    <t>Subsidized/free meals at HQ cafeteria (estimated); Blinkit's own platform credits (employee grocery delivery discounts); wellness programs under Eternal Ltd; late-night cab reimbursement; mobile and internet allowances for corporate staff; gym/fitness reimbursement for senior roles</t>
  </si>
  <si>
    <t>Strong – ex-Blinkit talent recruited by Zepto, Swiggy, Flipkart Commerce, Amazon India, McKinsey, BCG, and funded startups; supply chain and operations expertise highly sought; tech talent placed at Google, Microsoft, and global fintechs; entrepreneurship is a common exit path</t>
  </si>
  <si>
    <t>Very High – skills in quick-commerce operations, dark store management, AI/ML logistics, hyperlocal supply chain, and consumer app development are among the most in-demand in Indian digital commerce as of 2025</t>
  </si>
  <si>
    <t>High – Blinkit listed on resumes is recognized by top-tier employers in India and globally as a signal of high-velocity operations experience; Eternal Ltd association adds credibility</t>
  </si>
  <si>
    <t>Strong alumni network within Indian startup ecosystem; Eternal Ltd / Zomato group alumni well-placed across Indian tech and consumer internet; IIT/IIM heavy leadership creates access to elite academic alumni networks</t>
  </si>
  <si>
    <t>Limited currently – Blinkit operates only in India; however, Eternal Ltd's potential international expansion and investor relations (SoftBank, Goldman, Tiger Global) provide some global exposure; tech roles interact with global cloud vendors and open-source communities</t>
  </si>
  <si>
    <t>High – Blinkit's 10-minute delivery promise is an exceptionally clear and measurable mission; every employee understands the core KPI; organizational decisions consistently align with speed and reliability as primary values</t>
  </si>
  <si>
    <t>EV fleet electrification commitment; food waste reduction via AI-driven demand forecasting; Eternal Ltd's broader CSR includes hunger relief initiatives and sustainable packaging goals; Blinkit-specific CSR not independently reported</t>
  </si>
  <si>
    <t>Demonstrably resilient – navigated near-collapse post-Zomato acquisition (2022), gig worker strike (2023), FSSAI raid (2024), and intense competitive pressure; leadership maintained course corrections without public panic; held firm on structural decisions (pay restructuring) despite short-term controversy; overall crisis management rated competent by industry observers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</si>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</sst>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u/>
      <sz val="10"/>
      <color rgb="FF000000"/>
      <name val="Helvetica Neue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D62397-FEEE-4B64-9E54-C95664F9EE03}" name="Table2" displayName="Table2" ref="A2:J166" totalsRowShown="0">
  <autoFilter ref="A2:J166" xr:uid="{E6D62397-FEEE-4B64-9E54-C95664F9EE03}"/>
  <tableColumns count="10">
    <tableColumn id="1" xr3:uid="{68E0A30C-6D9D-498E-8BF6-9455321441F5}" name="ID"/>
    <tableColumn id="3" xr3:uid="{607941A4-62A0-4CC4-9F74-32A89614E93F}" name="DB ID" dataDxfId="7"/>
    <tableColumn id="2" xr3:uid="{6798AA87-BECB-4D84-91E2-DACFAD6EB268}" name="Parameter"/>
    <tableColumn id="4" xr3:uid="{A7CD9E92-5BDB-4B87-8FC8-884B21D24B63}" name="Input Data" dataDxfId="5"/>
    <tableColumn id="5" xr3:uid="{9535BEF5-4971-414C-992D-08E102B86A06}" name="Column1" dataDxfId="4"/>
    <tableColumn id="6" xr3:uid="{99BEC48F-F82B-1B40-93D8-860FD4F7E908}" name="Column2" dataDxfId="3"/>
    <tableColumn id="7" xr3:uid="{35FBBC3B-02B9-B34F-8AE1-C43188026606}" name="Column3" dataDxfId="2"/>
    <tableColumn id="8" xr3:uid="{790C8779-1BDF-234B-9A06-A4AFC84E45B6}" name="Column4"/>
    <tableColumn id="9" xr3:uid="{D49351CD-AC08-8F48-AEAC-7202F6A8DA02}" name="Column5" dataDxfId="1"/>
    <tableColumn id="10" xr3:uid="{19DF9950-B75B-2A4B-8B99-89B626130104}" name="Column6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92BB30-4CF6-4134-95C7-CC894B035320}" name="Table1" displayName="Table1" ref="A1:E164" totalsRowShown="0">
  <autoFilter ref="A1:E164" xr:uid="{E792BB30-4CF6-4134-95C7-CC894B035320}"/>
  <tableColumns count="5">
    <tableColumn id="1" xr3:uid="{9B64C074-98B3-4DEF-8ECC-4BD52427D722}" name="DB ID"/>
    <tableColumn id="2" xr3:uid="{AC78AFBC-9DD3-481A-8802-3DA028E8F425}" name="Sr.No."/>
    <tableColumn id="4" xr3:uid="{2889CC44-DDC2-48F3-9DB0-5511D99A8FCB}" name="Table Name"/>
    <tableColumn id="5" xr3:uid="{B9566447-7816-48D3-A88F-DA128B881EC6}" name="Column Name (snake_case)"/>
    <tableColumn id="6" xr3:uid="{5FB98C8B-F0C3-40D4-92C9-ABB5D773A22E}" name="Result" dataDxfId="6">
      <calculatedColumnFormula>_xlfn.XLOOKUP(Table1[[#This Row],[DB ID]],Table2[DB ID],Table2[Input Data],"XLookUp Not Found")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DD8C21-E081-431D-BC6E-BB8E9C40CF79}" name="Table3" displayName="Table3" ref="B4:AJ5" totalsRowShown="0">
  <autoFilter ref="B4:AJ5" xr:uid="{25DD8C21-E081-431D-BC6E-BB8E9C40CF79}"/>
  <tableColumns count="35">
    <tableColumn id="1" xr3:uid="{B352129B-1779-4078-8605-54EA55C46BB0}" name="company_id"/>
    <tableColumn id="2" xr3:uid="{FECBF317-9755-4305-99C3-F71DABCA2E68}" name="name">
      <calculatedColumnFormula>_xlfn.XLOOKUP(C$2,Table1[DB ID],Table1[Result],"ZZZZZ")</calculatedColumnFormula>
    </tableColumn>
    <tableColumn id="3" xr3:uid="{60E61692-E871-46A1-8A0B-3CD5E4DFB195}" name="short_name">
      <calculatedColumnFormula>_xlfn.XLOOKUP(D$2,Table1[DB ID],Table1[Result],"ZZZZZ")</calculatedColumnFormula>
    </tableColumn>
    <tableColumn id="4" xr3:uid="{98BB2422-A786-4B1A-A9DF-BF3B2957590A}" name="logo_url">
      <calculatedColumnFormula>_xlfn.XLOOKUP(E$2,Table1[DB ID],Table1[Result],"ZZZZZ")</calculatedColumnFormula>
    </tableColumn>
    <tableColumn id="5" xr3:uid="{EF4DAD4A-ED50-4535-9744-D0037E72885B}" name="category">
      <calculatedColumnFormula>_xlfn.XLOOKUP(F$2,Table1[DB ID],Table1[Result],"ZZZZZ")</calculatedColumnFormula>
    </tableColumn>
    <tableColumn id="6" xr3:uid="{BDABEE09-0B28-413C-9075-8551FECB6B20}" name="incorporation_year">
      <calculatedColumnFormula>_xlfn.XLOOKUP(G$2,Table1[DB ID],Table1[Result],"ZZZZZ")</calculatedColumnFormula>
    </tableColumn>
    <tableColumn id="7" xr3:uid="{0292F9F1-3670-4D41-B4D6-91805976B671}" name="overview_text">
      <calculatedColumnFormula>_xlfn.XLOOKUP(H$2,Table1[DB ID],Table1[Result],"ZZZZZ")</calculatedColumnFormula>
    </tableColumn>
    <tableColumn id="8" xr3:uid="{23C52762-AD07-4C20-ABEA-0B94903121F8}" name="nature_of_company">
      <calculatedColumnFormula>_xlfn.XLOOKUP(I$2,Table1[DB ID],Table1[Result],"ZZZZZ")</calculatedColumnFormula>
    </tableColumn>
    <tableColumn id="9" xr3:uid="{8F68CCD0-B8F8-4521-AFDF-5A94FBBFB24C}" name="headquarters_address">
      <calculatedColumnFormula>_xlfn.XLOOKUP(J$2,Table1[DB ID],Table1[Result],"ZZZZZ")</calculatedColumnFormula>
    </tableColumn>
    <tableColumn id="10" xr3:uid="{31F8F40E-ECF6-4DBF-8DD5-F8F0B3211858}" name="operating_countries">
      <calculatedColumnFormula>_xlfn.XLOOKUP(K$2,Table1[DB ID],Table1[Result],"ZZZZZ")</calculatedColumnFormula>
    </tableColumn>
    <tableColumn id="11" xr3:uid="{0DD26F14-BBF2-409E-B436-0017002A3153}" name="office_count">
      <calculatedColumnFormula>_xlfn.XLOOKUP(L$2,Table1[DB ID],Table1[Result],"ZZZZZ")</calculatedColumnFormula>
    </tableColumn>
    <tableColumn id="12" xr3:uid="{95E02A57-FA2E-4556-9CA4-243E09BBF5A4}" name="office_locations">
      <calculatedColumnFormula>_xlfn.XLOOKUP(M$2,Table1[DB ID],Table1[Result],"ZZZZZ")</calculatedColumnFormula>
    </tableColumn>
    <tableColumn id="13" xr3:uid="{085BD546-D46A-430D-9122-EEADD5176307}" name="employee_size">
      <calculatedColumnFormula>_xlfn.XLOOKUP(N$2,Table1[DB ID],Table1[Result],"ZZZZZ")</calculatedColumnFormula>
    </tableColumn>
    <tableColumn id="14" xr3:uid="{0DD204D6-4CBC-4AB3-93E4-46589C7431B5}" name="vision_statement">
      <calculatedColumnFormula>_xlfn.XLOOKUP(O$2,Table1[DB ID],Table1[Result],"ZZZZZ")</calculatedColumnFormula>
    </tableColumn>
    <tableColumn id="15" xr3:uid="{B7EE4071-84CD-4D64-8FE1-D33FEF9A067F}" name="mission_statement">
      <calculatedColumnFormula>_xlfn.XLOOKUP(P$2,Table1[DB ID],Table1[Result],"ZZZZZ")</calculatedColumnFormula>
    </tableColumn>
    <tableColumn id="16" xr3:uid="{B985C9D8-54F2-4821-A278-7A63FFC93E98}" name="core_values">
      <calculatedColumnFormula>_xlfn.XLOOKUP(Q$2,Table1[DB ID],Table1[Result],"ZZZZZ")</calculatedColumnFormula>
    </tableColumn>
    <tableColumn id="17" xr3:uid="{E9454FF6-9BF6-4136-A5E8-DE23045A6763}" name="history_timeline">
      <calculatedColumnFormula>_xlfn.XLOOKUP(R$2,Table1[DB ID],Table1[Result],"ZZZZZ")</calculatedColumnFormula>
    </tableColumn>
    <tableColumn id="18" xr3:uid="{44844698-F7A0-4F35-B928-41A1F2E22DEA}" name="recent_news">
      <calculatedColumnFormula>_xlfn.XLOOKUP(S$2,Table1[DB ID],Table1[Result],"ZZZZZ")</calculatedColumnFormula>
    </tableColumn>
    <tableColumn id="19" xr3:uid="{24AC73EB-CF13-4264-8885-FCE64615C2F2}" name="website_url">
      <calculatedColumnFormula>_xlfn.XLOOKUP(T$2,Table1[DB ID],Table1[Result],"ZZZZZ")</calculatedColumnFormula>
    </tableColumn>
    <tableColumn id="20" xr3:uid="{CF0AD767-8A68-4CB0-9F67-35D6735DF2FA}" name="linkedin_url">
      <calculatedColumnFormula>_xlfn.XLOOKUP(U$2,Table1[DB ID],Table1[Result],"ZZZZZ")</calculatedColumnFormula>
    </tableColumn>
    <tableColumn id="21" xr3:uid="{E6306959-25D8-4D64-8F68-2B10E4ABF58E}" name="twitter_handle">
      <calculatedColumnFormula>_xlfn.XLOOKUP(V$2,Table1[DB ID],Table1[Result],"ZZZZZ")</calculatedColumnFormula>
    </tableColumn>
    <tableColumn id="22" xr3:uid="{44CD2E3A-97A4-4434-A947-50811569DE76}" name="facebook_url">
      <calculatedColumnFormula>_xlfn.XLOOKUP(W$2,Table1[DB ID],Table1[Result],"ZZZZZ")</calculatedColumnFormula>
    </tableColumn>
    <tableColumn id="23" xr3:uid="{13826DFE-AD89-4EA0-927A-4E45A0C05150}" name="instagram_url">
      <calculatedColumnFormula>_xlfn.XLOOKUP(X$2,Table1[DB ID],Table1[Result],"ZZZZZ")</calculatedColumnFormula>
    </tableColumn>
    <tableColumn id="24" xr3:uid="{8F9D3472-E929-4417-B5AF-1B5A2A16E3E8}" name="primary_contact_email">
      <calculatedColumnFormula>_xlfn.XLOOKUP(Y$2,Table1[DB ID],Table1[Result],"ZZZZZ")</calculatedColumnFormula>
    </tableColumn>
    <tableColumn id="25" xr3:uid="{E207FB00-48A0-4A8E-A04C-83D53659E6D3}" name="primary_phone_number">
      <calculatedColumnFormula>_xlfn.XLOOKUP(Z$2,Table1[DB ID],Table1[Result],"ZZZZZ")</calculatedColumnFormula>
    </tableColumn>
    <tableColumn id="26" xr3:uid="{4E0F9D19-F300-4465-8801-1643ADD46A47}" name="regulatory_status">
      <calculatedColumnFormula>_xlfn.XLOOKUP(AA$2,Table1[DB ID],Table1[Result],"ZZZZZ")</calculatedColumnFormula>
    </tableColumn>
    <tableColumn id="27" xr3:uid="{C04A8CB7-57D3-4652-B09D-9A242266C7CA}" name="legal_issues">
      <calculatedColumnFormula>_xlfn.XLOOKUP(AB$2,Table1[DB ID],Table1[Result],"ZZZZZ")</calculatedColumnFormula>
    </tableColumn>
    <tableColumn id="28" xr3:uid="{5581740B-B33D-4C42-A54A-11D1EC4DDC56}" name="esg_ratings">
      <calculatedColumnFormula>_xlfn.XLOOKUP(AC$2,Table1[DB ID],Table1[Result],"ZZZZZ")</calculatedColumnFormula>
    </tableColumn>
    <tableColumn id="29" xr3:uid="{8200C47E-7550-4FB4-A243-9D35181C44BF}" name="supply_chain_dependencies">
      <calculatedColumnFormula>_xlfn.XLOOKUP(AD$2,Table1[DB ID],Table1[Result],"ZZZZZ")</calculatedColumnFormula>
    </tableColumn>
    <tableColumn id="30" xr3:uid="{CF59FBF5-7D59-4FB8-B0EE-52A40E88F9D0}" name="geopolitical_risks">
      <calculatedColumnFormula>_xlfn.XLOOKUP(AE$2,Table1[DB ID],Table1[Result],"ZZZZZ")</calculatedColumnFormula>
    </tableColumn>
    <tableColumn id="31" xr3:uid="{BE312FFE-4C71-4AF5-AA16-290F1F888673}" name="macro_risks">
      <calculatedColumnFormula>_xlfn.XLOOKUP(AF$2,Table1[DB ID],Table1[Result],"ZZZZZ")</calculatedColumnFormula>
    </tableColumn>
    <tableColumn id="32" xr3:uid="{6A3415AD-8E72-432B-8C1A-456477217B2A}" name="carbon_footprint">
      <calculatedColumnFormula>_xlfn.XLOOKUP(AG$2,Table1[DB ID],Table1[Result],"ZZZZZ")</calculatedColumnFormula>
    </tableColumn>
    <tableColumn id="33" xr3:uid="{4B175041-A3BC-49B5-BD47-AFE99B8BBEF4}" name="ethical_sourcing">
      <calculatedColumnFormula>_xlfn.XLOOKUP(AH$2,Table1[DB ID],Table1[Result],"ZZZZZ")</calculatedColumnFormula>
    </tableColumn>
    <tableColumn id="34" xr3:uid="{984DEFA2-C737-413A-B6D2-92301160B088}" name="marketing_video_url">
      <calculatedColumnFormula>_xlfn.XLOOKUP(AI$2,Table1[DB ID],Table1[Result],"ZZZZZ")</calculatedColumnFormula>
    </tableColumn>
    <tableColumn id="35" xr3:uid="{77A7B8D6-82E4-40A4-A87D-BAA480CB6B9B}" name="customer_testimonials">
      <calculatedColumnFormula>_xlfn.XLOOKUP(AJ$2,Table1[DB ID],Table1[Result],"ZZZZZ")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0782B0-A3A9-4087-8B0B-66A850C2D2D6}" name="Table4" displayName="Table4" ref="AL4:AV5" totalsRowShown="0">
  <autoFilter ref="AL4:AV5" xr:uid="{310782B0-A3A9-4087-8B0B-66A850C2D2D6}"/>
  <tableColumns count="11">
    <tableColumn id="1" xr3:uid="{D6CDEAA7-30B6-4CF6-8ADD-57853F92F140}" name="company_id">
      <calculatedColumnFormula>Table3[[#This Row],[company_id]]</calculatedColumnFormula>
    </tableColumn>
    <tableColumn id="2" xr3:uid="{D419A184-F1DE-4796-9946-936B510FA837}" name="website_quality">
      <calculatedColumnFormula>_xlfn.XLOOKUP(AM$2,Table1[DB ID],Table1[Result],"ZZZZZ")</calculatedColumnFormula>
    </tableColumn>
    <tableColumn id="3" xr3:uid="{D16E0033-970E-4C3B-AD95-AEA0A3DED278}" name="website_rating">
      <calculatedColumnFormula>_xlfn.XLOOKUP(AN$2,Table1[DB ID],Table1[Result],"ZZZZZ")</calculatedColumnFormula>
    </tableColumn>
    <tableColumn id="4" xr3:uid="{D2732F8C-DF7A-43AA-A32C-3BCFD99A9638}" name="website_traffic_rank">
      <calculatedColumnFormula>_xlfn.XLOOKUP(AO$2,Table1[DB ID],Table1[Result],"ZZZZZ")</calculatedColumnFormula>
    </tableColumn>
    <tableColumn id="5" xr3:uid="{D3CF4F73-F5A0-4B12-8265-61D10AE21D22}" name="social_media_followers">
      <calculatedColumnFormula>_xlfn.XLOOKUP(AP$2,Table1[DB ID],Table1[Result],"ZZZZZ")</calculatedColumnFormula>
    </tableColumn>
    <tableColumn id="6" xr3:uid="{376D07B9-01A4-4FF1-B8BE-EF1407843381}" name="glassdoor_rating">
      <calculatedColumnFormula>_xlfn.XLOOKUP(AQ$2,Table1[DB ID],Table1[Result],"ZZZZZ")</calculatedColumnFormula>
    </tableColumn>
    <tableColumn id="7" xr3:uid="{A86BBB3C-30F6-4460-BD7F-65966BDF9389}" name="indeed_rating">
      <calculatedColumnFormula>_xlfn.XLOOKUP(AR$2,Table1[DB ID],Table1[Result],"ZZZZZ")</calculatedColumnFormula>
    </tableColumn>
    <tableColumn id="8" xr3:uid="{010FF38F-1EDF-45B8-81D8-2B2BB6E61928}" name="google_rating">
      <calculatedColumnFormula>_xlfn.XLOOKUP(AS$2,Table1[DB ID],Table1[Result],"ZZZZZ")</calculatedColumnFormula>
    </tableColumn>
    <tableColumn id="9" xr3:uid="{650D4A41-98D1-4056-8C4D-DF61A1EB179D}" name="awards_recognitions">
      <calculatedColumnFormula>_xlfn.XLOOKUP(AT$2,Table1[DB ID],Table1[Result],"ZZZZZ")</calculatedColumnFormula>
    </tableColumn>
    <tableColumn id="10" xr3:uid="{A99A64F6-78C1-455F-A9FD-8785121F99C7}" name="brand_sentiment_score">
      <calculatedColumnFormula>_xlfn.XLOOKUP(AU$2,Table1[DB ID],Table1[Result],"ZZZZZ")</calculatedColumnFormula>
    </tableColumn>
    <tableColumn id="11" xr3:uid="{78FA640F-11AD-4B8A-85EA-AEF1A03AF276}" name="event_participation">
      <calculatedColumnFormula>_xlfn.XLOOKUP(AV$2,Table1[DB ID],Table1[Result],"ZZZZZ")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DAB428-645B-48A3-A36E-EC37AB32838C}" name="Table5" displayName="Table5" ref="AX4:BW5" totalsRowShown="0">
  <autoFilter ref="AX4:BW5" xr:uid="{92DAB428-645B-48A3-A36E-EC37AB32838C}"/>
  <tableColumns count="26">
    <tableColumn id="1" xr3:uid="{F3A5A9EE-6401-4F79-98CC-6B2A9D337B57}" name="company_id">
      <calculatedColumnFormula>Table3[[#This Row],[company_id]]</calculatedColumnFormula>
    </tableColumn>
    <tableColumn id="2" xr3:uid="{DC206FFA-5229-4312-890A-25B2A0640681}" name="pain_points_addressed">
      <calculatedColumnFormula>_xlfn.XLOOKUP(AY$2,Table1[DB ID],Table1[Result],"ZZZZZ")</calculatedColumnFormula>
    </tableColumn>
    <tableColumn id="3" xr3:uid="{3BC869E3-DF1D-4C58-B125-9907A93EC13C}" name="focus_sectors">
      <calculatedColumnFormula>_xlfn.XLOOKUP(AZ$2,Table1[DB ID],Table1[Result],"ZZZZZ")</calculatedColumnFormula>
    </tableColumn>
    <tableColumn id="4" xr3:uid="{17BFDB12-6DFC-4509-A05D-C8365D5F1654}" name="offerings_description">
      <calculatedColumnFormula>_xlfn.XLOOKUP(BA$2,Table1[DB ID],Table1[Result],"ZZZZZ")</calculatedColumnFormula>
    </tableColumn>
    <tableColumn id="5" xr3:uid="{8A243C32-32A9-430C-9E62-52E3CA80E29C}" name="top_customers">
      <calculatedColumnFormula>_xlfn.XLOOKUP(BB$2,Table1[DB ID],Table1[Result],"ZZZZZ")</calculatedColumnFormula>
    </tableColumn>
    <tableColumn id="6" xr3:uid="{C4D5C4D7-84FF-4290-A5CB-E02E2859EEC1}" name="core_value_proposition">
      <calculatedColumnFormula>_xlfn.XLOOKUP(BC$2,Table1[DB ID],Table1[Result],"ZZZZZ")</calculatedColumnFormula>
    </tableColumn>
    <tableColumn id="7" xr3:uid="{F442575C-B88E-486E-827E-CA8B17F672C1}" name="unique_differentiators">
      <calculatedColumnFormula>_xlfn.XLOOKUP(BD$2,Table1[DB ID],Table1[Result],"ZZZZZ")</calculatedColumnFormula>
    </tableColumn>
    <tableColumn id="8" xr3:uid="{7CD935AC-3EDE-4AA7-9F05-255F9D0C99DF}" name="competitive_advantages">
      <calculatedColumnFormula>_xlfn.XLOOKUP(BE$2,Table1[DB ID],Table1[Result],"ZZZZZ")</calculatedColumnFormula>
    </tableColumn>
    <tableColumn id="9" xr3:uid="{728059FF-A5A3-4D23-A55F-06FA3A62EEF0}" name="weaknesses_gaps">
      <calculatedColumnFormula>_xlfn.XLOOKUP(BF$2,Table1[DB ID],Table1[Result],"ZZZZZ")</calculatedColumnFormula>
    </tableColumn>
    <tableColumn id="10" xr3:uid="{EB924BB8-F0B7-48EF-829E-7B54C19274F5}" name="key_challenges_needs">
      <calculatedColumnFormula>_xlfn.XLOOKUP(BG$2,Table1[DB ID],Table1[Result],"ZZZZZ")</calculatedColumnFormula>
    </tableColumn>
    <tableColumn id="11" xr3:uid="{C456CBA3-BC8F-498A-B3C9-5BD7BBDFDDD4}" name="key_competitors">
      <calculatedColumnFormula>_xlfn.XLOOKUP(BH$2,Table1[DB ID],Table1[Result],"ZZZZZ")</calculatedColumnFormula>
    </tableColumn>
    <tableColumn id="12" xr3:uid="{073565A2-D3C8-4476-8865-119388DA872A}" name="market_share_percentage">
      <calculatedColumnFormula>_xlfn.XLOOKUP(BI$2,Table1[DB ID],Table1[Result],"ZZZZZ")</calculatedColumnFormula>
    </tableColumn>
    <tableColumn id="13" xr3:uid="{8FEB5BFF-FD4F-4AA4-81D4-41F696BE04F7}" name="sales_motion">
      <calculatedColumnFormula>_xlfn.XLOOKUP(BJ$2,Table1[DB ID],Table1[Result],"ZZZZZ")</calculatedColumnFormula>
    </tableColumn>
    <tableColumn id="14" xr3:uid="{770F4097-332D-455F-84E3-85A3C3056E75}" name="customer_concentration_risk">
      <calculatedColumnFormula>_xlfn.XLOOKUP(BK$2,Table1[DB ID],Table1[Result],"ZZZZZ")</calculatedColumnFormula>
    </tableColumn>
    <tableColumn id="15" xr3:uid="{86060244-4631-4AA9-9744-1C73DA1B7E27}" name="exit_strategy_history">
      <calculatedColumnFormula>_xlfn.XLOOKUP(BL$2,Table1[DB ID],Table1[Result],"ZZZZZ")</calculatedColumnFormula>
    </tableColumn>
    <tableColumn id="16" xr3:uid="{50B68347-ED7D-4C4D-9B1F-182BFBECCA1B}" name="benchmark_vs_peers">
      <calculatedColumnFormula>_xlfn.XLOOKUP(BM$2,Table1[DB ID],Table1[Result],"ZZZZZ")</calculatedColumnFormula>
    </tableColumn>
    <tableColumn id="17" xr3:uid="{9107ACCA-A060-4124-B84A-4CC5DEA0C914}" name="future_projections">
      <calculatedColumnFormula>_xlfn.XLOOKUP(BN$2,Table1[DB ID],Table1[Result],"ZZZZZ")</calculatedColumnFormula>
    </tableColumn>
    <tableColumn id="18" xr3:uid="{6433098A-E78E-495F-B101-A3836BE9EFAF}" name="strategic_priorities">
      <calculatedColumnFormula>_xlfn.XLOOKUP(BO$2,Table1[DB ID],Table1[Result],"ZZZZZ")</calculatedColumnFormula>
    </tableColumn>
    <tableColumn id="19" xr3:uid="{6B9DF785-282B-42E4-92F5-B702869F0758}" name="industry_associations">
      <calculatedColumnFormula>_xlfn.XLOOKUP(BP$2,Table1[DB ID],Table1[Result],"ZZZZZ")</calculatedColumnFormula>
    </tableColumn>
    <tableColumn id="20" xr3:uid="{77F0A1BD-DB8A-4776-B83F-897233DFED6F}" name="case_studies">
      <calculatedColumnFormula>_xlfn.XLOOKUP(BQ$2,Table1[DB ID],Table1[Result],"ZZZZZ")</calculatedColumnFormula>
    </tableColumn>
    <tableColumn id="21" xr3:uid="{FA54AEF9-EFC9-4A71-8076-0A1917D17ED4}" name="go_to_market_strategy">
      <calculatedColumnFormula>_xlfn.XLOOKUP(BR$2,Table1[DB ID],Table1[Result],"ZZZZZ")</calculatedColumnFormula>
    </tableColumn>
    <tableColumn id="22" xr3:uid="{C0E03321-A68E-4085-ACAF-5FDCEE9182E5}" name="innovation_roadmap">
      <calculatedColumnFormula>_xlfn.XLOOKUP(BS$2,Table1[DB ID],Table1[Result],"ZZZZZ")</calculatedColumnFormula>
    </tableColumn>
    <tableColumn id="23" xr3:uid="{07E04C72-542F-416E-BDEC-2E78342DB9F4}" name="product_pipeline">
      <calculatedColumnFormula>_xlfn.XLOOKUP(BT$2,Table1[DB ID],Table1[Result],"ZZZZZ")</calculatedColumnFormula>
    </tableColumn>
    <tableColumn id="24" xr3:uid="{D5EBBA3A-F0D0-4AA0-912E-1509F5F39057}" name="tam">
      <calculatedColumnFormula>_xlfn.XLOOKUP(BU$2,Table1[DB ID],Table1[Result],"ZZZZZ")</calculatedColumnFormula>
    </tableColumn>
    <tableColumn id="25" xr3:uid="{F259C789-7749-42E8-B1EB-2D3329D4CEB7}" name="sam">
      <calculatedColumnFormula>_xlfn.XLOOKUP(BV$2,Table1[DB ID],Table1[Result],"ZZZZZ")</calculatedColumnFormula>
    </tableColumn>
    <tableColumn id="26" xr3:uid="{1EEB2198-5E9E-480A-A761-2C2EB061AAB4}" name="som">
      <calculatedColumnFormula>_xlfn.XLOOKUP(BW$2,Table1[DB ID],Table1[Result],"ZZZZZ")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0CF8A9-ECE0-4485-86DD-3B1D9A140F1C}" name="Table6" displayName="Table6" ref="BY4:CG5" totalsRowShown="0">
  <autoFilter ref="BY4:CG5" xr:uid="{400CF8A9-ECE0-4485-86DD-3B1D9A140F1C}"/>
  <tableColumns count="9">
    <tableColumn id="1" xr3:uid="{CF3AEAB4-3EEC-4FAD-896D-B97300CB3CBD}" name="company_id">
      <calculatedColumnFormula>Table3[[#This Row],[company_id]]</calculatedColumnFormula>
    </tableColumn>
    <tableColumn id="2" xr3:uid="{B65BBA37-4127-4287-899E-5991F8971B8F}" name="leave_policy">
      <calculatedColumnFormula>_xlfn.XLOOKUP(BZ$2,Table1[DB ID],Table1[Result],"ZZZZZ")</calculatedColumnFormula>
    </tableColumn>
    <tableColumn id="3" xr3:uid="{9E0CA28E-9BE5-4863-83F0-5C7D4CAB5987}" name="health_support">
      <calculatedColumnFormula>_xlfn.XLOOKUP(CA$2,Table1[DB ID],Table1[Result],"ZZZZZ")</calculatedColumnFormula>
    </tableColumn>
    <tableColumn id="4" xr3:uid="{83033707-7237-4CD7-AFF2-754B2EF6FA69}" name="fixed_vs_variable_pay">
      <calculatedColumnFormula>_xlfn.XLOOKUP(CB$2,Table1[DB ID],Table1[Result],"ZZZZZ")</calculatedColumnFormula>
    </tableColumn>
    <tableColumn id="5" xr3:uid="{687EF4BC-65DC-4FB3-8F7F-AE27D0381DE8}" name="bonus_predictability">
      <calculatedColumnFormula>_xlfn.XLOOKUP(CC$2,Table1[DB ID],Table1[Result],"ZZZZZ")</calculatedColumnFormula>
    </tableColumn>
    <tableColumn id="6" xr3:uid="{937CF104-2349-4EFF-BE47-03EC78BF6F26}" name="esops_incentives">
      <calculatedColumnFormula>_xlfn.XLOOKUP(CD$2,Table1[DB ID],Table1[Result],"ZZZZZ")</calculatedColumnFormula>
    </tableColumn>
    <tableColumn id="7" xr3:uid="{CA32ED18-F3D8-4D3E-9DB0-FBEC500394AA}" name="family_health_insurance">
      <calculatedColumnFormula>_xlfn.XLOOKUP(CE$2,Table1[DB ID],Table1[Result],"ZZZZZ")</calculatedColumnFormula>
    </tableColumn>
    <tableColumn id="8" xr3:uid="{E7EC5426-E52C-4380-9420-F7BEBD630181}" name="relocation_support">
      <calculatedColumnFormula>_xlfn.XLOOKUP(CF$2,Table1[DB ID],Table1[Result],"ZZZZZ")</calculatedColumnFormula>
    </tableColumn>
    <tableColumn id="9" xr3:uid="{C0A96C90-E571-4537-AE70-85AC9E0C9FF3}" name="lifestyle_benefits">
      <calculatedColumnFormula>_xlfn.XLOOKUP(CG$2,Table1[DB ID],Table1[Result],"ZZZZZ")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B6BE2C-A180-490F-95C8-0B3B29F2380E}" name="Table7" displayName="Table7" ref="CI4:CX5" totalsRowShown="0">
  <autoFilter ref="CI4:CX5" xr:uid="{6CB6BE2C-A180-490F-95C8-0B3B29F2380E}"/>
  <tableColumns count="16">
    <tableColumn id="1" xr3:uid="{F485BD73-9B92-4E9A-86A1-6C4DC08C631E}" name="company_id">
      <calculatedColumnFormula>Table3[[#This Row],[company_id]]</calculatedColumnFormula>
    </tableColumn>
    <tableColumn id="2" xr3:uid="{43ED0A45-0F33-4ABD-BFB0-7A58E8F8A438}" name="hiring_velocity">
      <calculatedColumnFormula>_xlfn.XLOOKUP(CJ$2,Table1[DB ID],Table1[Result],"ZZZZZ")</calculatedColumnFormula>
    </tableColumn>
    <tableColumn id="3" xr3:uid="{66588E79-5AC3-4F71-ADEE-6BA91452F591}" name="employee_turnover">
      <calculatedColumnFormula>_xlfn.XLOOKUP(CK$2,Table1[DB ID],Table1[Result],"ZZZZZ")</calculatedColumnFormula>
    </tableColumn>
    <tableColumn id="4" xr3:uid="{85DB47F9-EF8C-467F-B6F2-DEC43A118A35}" name="avg_retention_tenure">
      <calculatedColumnFormula>_xlfn.XLOOKUP(CL$2,Table1[DB ID],Table1[Result],"ZZZZZ")</calculatedColumnFormula>
    </tableColumn>
    <tableColumn id="5" xr3:uid="{C1BA3B27-6BA4-4232-B394-8C30EBF1ED54}" name="diversity_metrics">
      <calculatedColumnFormula>_xlfn.XLOOKUP(CM$2,Table1[DB ID],Table1[Result],"ZZZZZ")</calculatedColumnFormula>
    </tableColumn>
    <tableColumn id="6" xr3:uid="{C5548221-37A7-4982-8279-165258661A0A}" name="work_culture_summary">
      <calculatedColumnFormula>_xlfn.XLOOKUP(CN$2,Table1[DB ID],Table1[Result],"ZZZZZ")</calculatedColumnFormula>
    </tableColumn>
    <tableColumn id="7" xr3:uid="{3A778F53-17DC-4C90-865E-D7DD335FF056}" name="manager_quality">
      <calculatedColumnFormula>_xlfn.XLOOKUP(CO$2,Table1[DB ID],Table1[Result],"ZZZZZ")</calculatedColumnFormula>
    </tableColumn>
    <tableColumn id="8" xr3:uid="{E6F07B88-9E4B-4124-81CA-EE8E8DEEC08A}" name="psychological_safety">
      <calculatedColumnFormula>_xlfn.XLOOKUP(CP$2,Table1[DB ID],Table1[Result],"ZZZZZ")</calculatedColumnFormula>
    </tableColumn>
    <tableColumn id="9" xr3:uid="{F7AC508B-60A7-45AA-9C99-3BDFA4C463AF}" name="feedback_culture">
      <calculatedColumnFormula>_xlfn.XLOOKUP(CQ$2,Table1[DB ID],Table1[Result],"ZZZZZ")</calculatedColumnFormula>
    </tableColumn>
    <tableColumn id="10" xr3:uid="{094A6FB6-EBD4-4D2F-A739-F7D44F72E7C7}" name="diversity_inclusion_score">
      <calculatedColumnFormula>_xlfn.XLOOKUP(CR$2,Table1[DB ID],Table1[Result],"ZZZZZ")</calculatedColumnFormula>
    </tableColumn>
    <tableColumn id="11" xr3:uid="{82BAE6D4-FE6E-4573-9230-DF4853B15126}" name="ethical_standards">
      <calculatedColumnFormula>_xlfn.XLOOKUP(CS$2,Table1[DB ID],Table1[Result],"ZZZZZ")</calculatedColumnFormula>
    </tableColumn>
    <tableColumn id="12" xr3:uid="{E4EC5FA2-F86E-48B6-BE03-71F01D588458}" name="burnout_risk">
      <calculatedColumnFormula>_xlfn.XLOOKUP(CT$2,Table1[DB ID],Table1[Result],"ZZZZZ")</calculatedColumnFormula>
    </tableColumn>
    <tableColumn id="13" xr3:uid="{25726867-3CA4-4E9E-9432-C57C2DC774F0}" name="layoff_history">
      <calculatedColumnFormula>_xlfn.XLOOKUP(CU$2,Table1[DB ID],Table1[Result],"ZZZZZ")</calculatedColumnFormula>
    </tableColumn>
    <tableColumn id="14" xr3:uid="{7A453C20-4662-487C-9CE8-99FFE79CBC0B}" name="mission_clarity">
      <calculatedColumnFormula>_xlfn.XLOOKUP(CV$2,Table1[DB ID],Table1[Result],"ZZZZZ")</calculatedColumnFormula>
    </tableColumn>
    <tableColumn id="15" xr3:uid="{5AC5F88A-9471-4389-9A8C-01D890041658}" name="sustainability_csr">
      <calculatedColumnFormula>_xlfn.XLOOKUP(CW$2,Table1[DB ID],Table1[Result],"ZZZZZ")</calculatedColumnFormula>
    </tableColumn>
    <tableColumn id="16" xr3:uid="{B1203E6B-FD59-4A1F-958B-546B2874A57A}" name="crisis_behavior">
      <calculatedColumnFormula>_xlfn.XLOOKUP(CX$2,Table1[DB ID],Table1[Result],"ZZZZZ")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3B31FF-122E-419B-9A3D-D472649AFD22}" name="Table8" displayName="Table8" ref="CZ4:DQ5" totalsRowShown="0">
  <autoFilter ref="CZ4:DQ5" xr:uid="{C53B31FF-122E-419B-9A3D-D472649AFD22}"/>
  <tableColumns count="18">
    <tableColumn id="1" xr3:uid="{F859E789-963C-4CA1-8146-EB37822188EA}" name="company_id">
      <calculatedColumnFormula>Table3[[#This Row],[company_id]]</calculatedColumnFormula>
    </tableColumn>
    <tableColumn id="2" xr3:uid="{F984A93B-ACD6-4DE6-86ED-44C8B1827F23}" name="annual_revenue">
      <calculatedColumnFormula>_xlfn.XLOOKUP(DA$2,Table1[DB ID],Table1[Result],"ZZZZZ")</calculatedColumnFormula>
    </tableColumn>
    <tableColumn id="3" xr3:uid="{E8F45694-D039-45A5-BD7F-CD442EE7E1DA}" name="annual_profit">
      <calculatedColumnFormula>_xlfn.XLOOKUP(DB$2,Table1[DB ID],Table1[Result],"ZZZZZ")</calculatedColumnFormula>
    </tableColumn>
    <tableColumn id="4" xr3:uid="{4408CBD8-8A9C-45EE-BCEC-51244140D40F}" name="revenue_mix">
      <calculatedColumnFormula>_xlfn.XLOOKUP(DC$2,Table1[DB ID],Table1[Result],"ZZZZZ")</calculatedColumnFormula>
    </tableColumn>
    <tableColumn id="5" xr3:uid="{AC403155-2A61-449B-B43D-3C2E82A801F7}" name="valuation">
      <calculatedColumnFormula>_xlfn.XLOOKUP(DD$2,Table1[DB ID],Table1[Result],"ZZZZZ")</calculatedColumnFormula>
    </tableColumn>
    <tableColumn id="6" xr3:uid="{20F37BB2-BBDE-4223-BEF2-34FEEF522783}" name="yoy_growth_rate">
      <calculatedColumnFormula>_xlfn.XLOOKUP(DE$2,Table1[DB ID],Table1[Result],"ZZZZZ")</calculatedColumnFormula>
    </tableColumn>
    <tableColumn id="7" xr3:uid="{C4447FC5-8077-4626-98F0-B8ACFB966D2C}" name="profitability_status">
      <calculatedColumnFormula>_xlfn.XLOOKUP(DF$2,Table1[DB ID],Table1[Result],"ZZZZZ")</calculatedColumnFormula>
    </tableColumn>
    <tableColumn id="8" xr3:uid="{236B5803-C78C-4E9A-BF4A-25B4E37D1E8C}" name="key_investors">
      <calculatedColumnFormula>_xlfn.XLOOKUP(DG$2,Table1[DB ID],Table1[Result],"ZZZZZ")</calculatedColumnFormula>
    </tableColumn>
    <tableColumn id="9" xr3:uid="{40BCB671-E483-42CA-BFDA-DA61E3A0206F}" name="recent_funding_rounds">
      <calculatedColumnFormula>_xlfn.XLOOKUP(DH$2,Table1[DB ID],Table1[Result],"ZZZZZ")</calculatedColumnFormula>
    </tableColumn>
    <tableColumn id="10" xr3:uid="{A75B3402-38D0-4EC7-823E-D7F731CD7A52}" name="total_capital_raised">
      <calculatedColumnFormula>_xlfn.XLOOKUP(DI$2,Table1[DB ID],Table1[Result],"ZZZZZ")</calculatedColumnFormula>
    </tableColumn>
    <tableColumn id="11" xr3:uid="{1EFCFE4E-325B-43E9-AC61-BFD64A7E0A50}" name="customer_acquisition_cost">
      <calculatedColumnFormula>_xlfn.XLOOKUP(DJ$2,Table1[DB ID],Table1[Result],"ZZZZZ")</calculatedColumnFormula>
    </tableColumn>
    <tableColumn id="12" xr3:uid="{7E12AF0D-47E7-40C9-B4CA-3222219D3D13}" name="customer_lifetime_value">
      <calculatedColumnFormula>_xlfn.XLOOKUP(DK$2,Table1[DB ID],Table1[Result],"ZZZZZ")</calculatedColumnFormula>
    </tableColumn>
    <tableColumn id="13" xr3:uid="{C93A0EA1-898F-4B35-BAB1-822CD6AB753D}" name="cac_ltv_ratio">
      <calculatedColumnFormula>_xlfn.XLOOKUP(DL$2,Table1[DB ID],Table1[Result],"ZZZZZ")</calculatedColumnFormula>
    </tableColumn>
    <tableColumn id="14" xr3:uid="{0F5C81BA-2F56-430D-8D0A-2A0E85B28FDC}" name="churn_rate">
      <calculatedColumnFormula>_xlfn.XLOOKUP(DM$2,Table1[DB ID],Table1[Result],"ZZZZZ")</calculatedColumnFormula>
    </tableColumn>
    <tableColumn id="15" xr3:uid="{91F154E0-E695-4131-9C5D-2CB6B3361ABD}" name="net_promoter_score">
      <calculatedColumnFormula>_xlfn.XLOOKUP(DN$2,Table1[DB ID],Table1[Result],"ZZZZZ")</calculatedColumnFormula>
    </tableColumn>
    <tableColumn id="16" xr3:uid="{CDCD8C94-A903-4260-9E3D-2F8DBF38D146}" name="burn_rate">
      <calculatedColumnFormula>_xlfn.XLOOKUP(DO$2,Table1[DB ID],Table1[Result],"ZZZZZ")</calculatedColumnFormula>
    </tableColumn>
    <tableColumn id="17" xr3:uid="{A2000410-AAD3-4C5F-8B17-B9CC45F1720D}" name="runway_months">
      <calculatedColumnFormula>_xlfn.XLOOKUP(DP$2,Table1[DB ID],Table1[Result],"ZZZZZ")</calculatedColumnFormula>
    </tableColumn>
    <tableColumn id="18" xr3:uid="{5A500EA1-F096-42FA-8B13-F251800F58D7}" name="burn_multiplier">
      <calculatedColumnFormula>_xlfn.XLOOKUP(DQ$2,Table1[DB ID],Table1[Result],"ZZZZZ")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24BAB5-F837-486F-86A8-8C66029E87CB}" name="Table9" displayName="Table9" ref="DS4:EG5" totalsRowShown="0">
  <autoFilter ref="DS4:EG5" xr:uid="{7924BAB5-F837-486F-86A8-8C66029E87CB}"/>
  <tableColumns count="15">
    <tableColumn id="1" xr3:uid="{8A753E8D-992B-4391-8C69-A0E738339E44}" name="company_id">
      <calculatedColumnFormula>Table3[[#This Row],[company_id]]</calculatedColumnFormula>
    </tableColumn>
    <tableColumn id="2" xr3:uid="{A22D9816-5BD5-45F0-8BBF-392074C288DB}" name="remote_policy_details">
      <calculatedColumnFormula>_xlfn.XLOOKUP(DT$2,Table1[DB ID],Table1[Result],"ZZZZZ")</calculatedColumnFormula>
    </tableColumn>
    <tableColumn id="3" xr3:uid="{1069F6E1-84DE-43F0-9049-4D923B277144}" name="typical_hours">
      <calculatedColumnFormula>_xlfn.XLOOKUP(DU$2,Table1[DB ID],Table1[Result],"ZZZZZ")</calculatedColumnFormula>
    </tableColumn>
    <tableColumn id="4" xr3:uid="{C3816B06-5CB6-4B86-B80F-50FFFFDC3847}" name="overtime_expectations">
      <calculatedColumnFormula>_xlfn.XLOOKUP(DV$2,Table1[DB ID],Table1[Result],"ZZZZZ")</calculatedColumnFormula>
    </tableColumn>
    <tableColumn id="5" xr3:uid="{6FFD5A53-EEDD-4133-8893-02682084F817}" name="weekend_work">
      <calculatedColumnFormula>_xlfn.XLOOKUP(DW$2,Table1[DB ID],Table1[Result],"ZZZZZ")</calculatedColumnFormula>
    </tableColumn>
    <tableColumn id="6" xr3:uid="{FF97BBB6-625D-40AB-BC39-243EFC52978C}" name="flexibility_level">
      <calculatedColumnFormula>_xlfn.XLOOKUP(DX$2,Table1[DB ID],Table1[Result],"ZZZZZ")</calculatedColumnFormula>
    </tableColumn>
    <tableColumn id="7" xr3:uid="{C9DBA810-62E2-45FA-8F47-2091490EB0D2}" name="location_centrality">
      <calculatedColumnFormula>_xlfn.XLOOKUP(DY$2,Table1[DB ID],Table1[Result],"ZZZZZ")</calculatedColumnFormula>
    </tableColumn>
    <tableColumn id="8" xr3:uid="{7B594A92-A7BE-467B-9C92-FF9D710FBE0F}" name="public_transport_access">
      <calculatedColumnFormula>_xlfn.XLOOKUP(DZ$2,Table1[DB ID],Table1[Result],"ZZZZZ")</calculatedColumnFormula>
    </tableColumn>
    <tableColumn id="9" xr3:uid="{99741270-C8DD-483B-A220-860FD1629A75}" name="cab_policy">
      <calculatedColumnFormula>_xlfn.XLOOKUP(EA$2,Table1[DB ID],Table1[Result],"ZZZZZ")</calculatedColumnFormula>
    </tableColumn>
    <tableColumn id="10" xr3:uid="{D04ADF00-0509-487C-A30C-411DC2E28089}" name="airport_commute_time">
      <calculatedColumnFormula>_xlfn.XLOOKUP(EB$2,Table1[DB ID],Table1[Result],"ZZZZZ")</calculatedColumnFormula>
    </tableColumn>
    <tableColumn id="11" xr3:uid="{A587E99C-6530-4CB8-964C-522332E1AE96}" name="office_zone_type">
      <calculatedColumnFormula>_xlfn.XLOOKUP(EC$2,Table1[DB ID],Table1[Result],"ZZZZZ")</calculatedColumnFormula>
    </tableColumn>
    <tableColumn id="12" xr3:uid="{CDF02AFE-04BA-4439-A067-71944161EDCC}" name="area_safety">
      <calculatedColumnFormula>_xlfn.XLOOKUP(ED$2,Table1[DB ID],Table1[Result],"ZZZZZ")</calculatedColumnFormula>
    </tableColumn>
    <tableColumn id="13" xr3:uid="{BEA3F3CE-739F-4271-A55F-D22B9F66A895}" name="safety_policies">
      <calculatedColumnFormula>_xlfn.XLOOKUP(EE$2,Table1[DB ID],Table1[Result],"ZZZZZ")</calculatedColumnFormula>
    </tableColumn>
    <tableColumn id="14" xr3:uid="{10AED9F8-DB4B-4649-8DD0-DA2D38C931D0}" name="infrastructure_safety">
      <calculatedColumnFormula>_xlfn.XLOOKUP(EF$2,Table1[DB ID],Table1[Result],"ZZZZZ")</calculatedColumnFormula>
    </tableColumn>
    <tableColumn id="15" xr3:uid="{2087C9A6-55FB-44D2-8345-E14A095E085D}" name="emergency_preparedness">
      <calculatedColumnFormula>_xlfn.XLOOKUP(EG$2,Table1[DB ID],Table1[Result],"ZZZZZ")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7E9AB5A-4245-4678-8889-76149ACAA6AE}" name="Table10" displayName="Table10" ref="EI4:ES5" totalsRowShown="0">
  <autoFilter ref="EI4:ES5" xr:uid="{77E9AB5A-4245-4678-8889-76149ACAA6AE}"/>
  <tableColumns count="11">
    <tableColumn id="1" xr3:uid="{FACD5559-9168-416B-AA6D-6D93C5FACE26}" name="company_id">
      <calculatedColumnFormula>Table3[[#This Row],[company_id]]</calculatedColumnFormula>
    </tableColumn>
    <tableColumn id="2" xr3:uid="{BCB4DE49-7869-418A-B5C4-BE70845D724E}" name="ceo_name">
      <calculatedColumnFormula>_xlfn.XLOOKUP(EJ$2,Table1[DB ID],Table1[Result],"ZZZZZ")</calculatedColumnFormula>
    </tableColumn>
    <tableColumn id="3" xr3:uid="{B7CDD42A-459D-4102-8F11-9BEAAADD1C10}" name="ceo_linkedin_url">
      <calculatedColumnFormula>_xlfn.XLOOKUP(EK$2,Table1[DB ID],Table1[Result],"ZZZZZ")</calculatedColumnFormula>
    </tableColumn>
    <tableColumn id="4" xr3:uid="{674E04D4-ADD6-48C4-B73F-55278837782B}" name="key_leaders">
      <calculatedColumnFormula>_xlfn.XLOOKUP(EL$2,Table1[DB ID],Table1[Result],"ZZZZZ")</calculatedColumnFormula>
    </tableColumn>
    <tableColumn id="5" xr3:uid="{156006E7-21AC-4167-A977-B29D9360F7E3}" name="warm_intro_pathways">
      <calculatedColumnFormula>_xlfn.XLOOKUP(EM$2,Table1[DB ID],Table1[Result],"ZZZZZ")</calculatedColumnFormula>
    </tableColumn>
    <tableColumn id="6" xr3:uid="{BB3F57B7-8AE8-4F37-87DA-C4B5063FC50F}" name="decision_maker_access">
      <calculatedColumnFormula>_xlfn.XLOOKUP(EN$2,Table1[DB ID],Table1[Result],"ZZZZZ")</calculatedColumnFormula>
    </tableColumn>
    <tableColumn id="7" xr3:uid="{100141F7-A13A-4CE4-8B5D-7766F91FD48A}" name="contact_person_name">
      <calculatedColumnFormula>_xlfn.XLOOKUP(EO$2,Table1[DB ID],Table1[Result],"ZZZZZ")</calculatedColumnFormula>
    </tableColumn>
    <tableColumn id="8" xr3:uid="{F64D7615-14CF-4620-9057-29B2FE55EDBC}" name="contact_person_title">
      <calculatedColumnFormula>_xlfn.XLOOKUP(EP$2,Table1[DB ID],Table1[Result],"ZZZZZ")</calculatedColumnFormula>
    </tableColumn>
    <tableColumn id="9" xr3:uid="{CC351955-3B92-4E93-9686-6585368388A7}" name="contact_person_email">
      <calculatedColumnFormula>_xlfn.XLOOKUP(EQ$2,Table1[DB ID],Table1[Result],"ZZZZZ")</calculatedColumnFormula>
    </tableColumn>
    <tableColumn id="10" xr3:uid="{E95BF300-3C3E-4D06-AE9C-45A0E3A35ADA}" name="contact_person_phone">
      <calculatedColumnFormula>_xlfn.XLOOKUP(ER$2,Table1[DB ID],Table1[Result],"ZZZZZ")</calculatedColumnFormula>
    </tableColumn>
    <tableColumn id="11" xr3:uid="{FEA841FD-4A98-46BF-B6CB-19DCFE61FD3B}" name="board_members">
      <calculatedColumnFormula>_xlfn.XLOOKUP(ES$2,Table1[DB ID],Table1[Result],"ZZZZZ")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A97141F-D272-4F1C-9419-B9492ABC8E96}" name="Table11" displayName="Table11" ref="EU4:FQ5" totalsRowShown="0">
  <autoFilter ref="EU4:FQ5" xr:uid="{9A97141F-D272-4F1C-9419-B9492ABC8E96}"/>
  <tableColumns count="23">
    <tableColumn id="1" xr3:uid="{EC897B17-5D2B-4EF8-9905-DF3B36007329}" name="company_id">
      <calculatedColumnFormula>Table3[[#This Row],[company_id]]</calculatedColumnFormula>
    </tableColumn>
    <tableColumn id="2" xr3:uid="{F7CB47BF-739F-4837-96DD-A81496E97964}" name="training_spend">
      <calculatedColumnFormula>_xlfn.XLOOKUP(EV$2,Table1[DB ID],Table1[Result],"ZZZZZ")</calculatedColumnFormula>
    </tableColumn>
    <tableColumn id="3" xr3:uid="{64EBF379-A706-4369-92E7-1A66153A28D3}" name="onboarding_quality">
      <calculatedColumnFormula>_xlfn.XLOOKUP(EW$2,Table1[DB ID],Table1[Result],"ZZZZZ")</calculatedColumnFormula>
    </tableColumn>
    <tableColumn id="4" xr3:uid="{EFB45785-3F1B-4D01-B32B-0F182F05B433}" name="learning_culture">
      <calculatedColumnFormula>_xlfn.XLOOKUP(EX$2,Table1[DB ID],Table1[Result],"ZZZZZ")</calculatedColumnFormula>
    </tableColumn>
    <tableColumn id="5" xr3:uid="{6786F11E-F240-413C-B1D7-BC8F4CCF84C0}" name="exposure_quality">
      <calculatedColumnFormula>_xlfn.XLOOKUP(EY$2,Table1[DB ID],Table1[Result],"ZZZZZ")</calculatedColumnFormula>
    </tableColumn>
    <tableColumn id="6" xr3:uid="{4FC1505C-5DFB-462B-A0AE-C83D26B0519A}" name="mentorship_availability">
      <calculatedColumnFormula>_xlfn.XLOOKUP(EZ$2,Table1[DB ID],Table1[Result],"ZZZZZ")</calculatedColumnFormula>
    </tableColumn>
    <tableColumn id="7" xr3:uid="{C658D249-66F8-4F98-9074-0F66B87E0250}" name="internal_mobility">
      <calculatedColumnFormula>_xlfn.XLOOKUP(FA$2,Table1[DB ID],Table1[Result],"ZZZZZ")</calculatedColumnFormula>
    </tableColumn>
    <tableColumn id="8" xr3:uid="{6BC19EC6-26F5-4A0E-A489-3D67F3793D5C}" name="promotion_clarity">
      <calculatedColumnFormula>_xlfn.XLOOKUP(FB$2,Table1[DB ID],Table1[Result],"ZZZZZ")</calculatedColumnFormula>
    </tableColumn>
    <tableColumn id="9" xr3:uid="{05466A52-5886-4723-A27C-D9E0B57085A8}" name="tools_access">
      <calculatedColumnFormula>_xlfn.XLOOKUP(FC$2,Table1[DB ID],Table1[Result],"ZZZZZ")</calculatedColumnFormula>
    </tableColumn>
    <tableColumn id="10" xr3:uid="{E8DC6667-C169-4333-BD28-1ACDE64E5FD6}" name="role_clarity">
      <calculatedColumnFormula>_xlfn.XLOOKUP(FD$2,Table1[DB ID],Table1[Result],"ZZZZZ")</calculatedColumnFormula>
    </tableColumn>
    <tableColumn id="11" xr3:uid="{CDBE8945-CD76-40F1-9304-C4216BB95F3C}" name="early_ownership">
      <calculatedColumnFormula>_xlfn.XLOOKUP(FE$2,Table1[DB ID],Table1[Result],"ZZZZZ")</calculatedColumnFormula>
    </tableColumn>
    <tableColumn id="12" xr3:uid="{925E4881-939E-490E-9DF0-FDDE6E31A42A}" name="work_impact">
      <calculatedColumnFormula>_xlfn.XLOOKUP(FF$2,Table1[DB ID],Table1[Result],"ZZZZZ")</calculatedColumnFormula>
    </tableColumn>
    <tableColumn id="13" xr3:uid="{1ECEA4CD-19F7-4DF5-81BA-D763879568C7}" name="execution_thinking_balance">
      <calculatedColumnFormula>_xlfn.XLOOKUP(FG$2,Table1[DB ID],Table1[Result],"ZZZZZ")</calculatedColumnFormula>
    </tableColumn>
    <tableColumn id="14" xr3:uid="{D2667523-2199-41F8-A37A-D3300D4DE02F}" name="automation_level">
      <calculatedColumnFormula>_xlfn.XLOOKUP(FH$2,Table1[DB ID],Table1[Result],"ZZZZZ")</calculatedColumnFormula>
    </tableColumn>
    <tableColumn id="15" xr3:uid="{D946DFF4-949D-4C63-AABD-AA53CB421E24}" name="cross_functional_exposure">
      <calculatedColumnFormula>_xlfn.XLOOKUP(FI$2,Table1[DB ID],Table1[Result],"ZZZZZ")</calculatedColumnFormula>
    </tableColumn>
    <tableColumn id="16" xr3:uid="{50127E75-1F01-4895-9FD6-5F3A7FDF0B64}" name="company_maturity">
      <calculatedColumnFormula>_xlfn.XLOOKUP(FJ$2,Table1[DB ID],Table1[Result],"ZZZZZ")</calculatedColumnFormula>
    </tableColumn>
    <tableColumn id="17" xr3:uid="{89913137-C599-480C-8B3D-EE43A30BFE7C}" name="brand_value">
      <calculatedColumnFormula>_xlfn.XLOOKUP(FK$2,Table1[DB ID],Table1[Result],"ZZZZZ")</calculatedColumnFormula>
    </tableColumn>
    <tableColumn id="18" xr3:uid="{E80D8185-272F-4630-8F18-4BC19CF842A7}" name="client_quality">
      <calculatedColumnFormula>_xlfn.XLOOKUP(FL$2,Table1[DB ID],Table1[Result],"ZZZZZ")</calculatedColumnFormula>
    </tableColumn>
    <tableColumn id="19" xr3:uid="{7F34F2F4-6FA2-4DD3-BED7-D124501BDA15}" name="exit_opportunities">
      <calculatedColumnFormula>_xlfn.XLOOKUP(FM$2,Table1[DB ID],Table1[Result],"ZZZZZ")</calculatedColumnFormula>
    </tableColumn>
    <tableColumn id="20" xr3:uid="{A1CC63EB-DC7A-4FCB-912C-1B96D7898926}" name="skill_relevance">
      <calculatedColumnFormula>_xlfn.XLOOKUP(FN$2,Table1[DB ID],Table1[Result],"ZZZZZ")</calculatedColumnFormula>
    </tableColumn>
    <tableColumn id="21" xr3:uid="{60828495-64AF-45C5-B177-086BE6EF7F38}" name="external_recognition">
      <calculatedColumnFormula>_xlfn.XLOOKUP(FO$2,Table1[DB ID],Table1[Result],"ZZZZZ")</calculatedColumnFormula>
    </tableColumn>
    <tableColumn id="22" xr3:uid="{6998F45B-58A6-4896-93EA-2560C12B01CC}" name="network_strength">
      <calculatedColumnFormula>_xlfn.XLOOKUP(FP$2,Table1[DB ID],Table1[Result],"ZZZZZ")</calculatedColumnFormula>
    </tableColumn>
    <tableColumn id="23" xr3:uid="{1568FB00-0D28-4BC0-A33F-1C46C13E4AB8}" name="global_exposure">
      <calculatedColumnFormula>_xlfn.XLOOKUP(FQ$2,Table1[DB ID],Table1[Result],"ZZZZZ")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CA507DC-4383-4D6C-81D9-F5C100E4B0C2}" name="Table12" displayName="Table12" ref="FS4:GA5" totalsRowShown="0">
  <autoFilter ref="FS4:GA5" xr:uid="{6CA507DC-4383-4D6C-81D9-F5C100E4B0C2}"/>
  <tableColumns count="9">
    <tableColumn id="1" xr3:uid="{92F8F721-1E67-42BD-B959-2322D3EEEC67}" name="company_id">
      <calculatedColumnFormula>Table3[[#This Row],[company_id]]</calculatedColumnFormula>
    </tableColumn>
    <tableColumn id="2" xr3:uid="{B269D1C6-296A-4810-91B5-512D28C41417}" name="technology_partners">
      <calculatedColumnFormula>_xlfn.XLOOKUP(FT$2,Table1[DB ID],Table1[Result],"ZZZZZ")</calculatedColumnFormula>
    </tableColumn>
    <tableColumn id="3" xr3:uid="{55787C07-83F4-4B7F-AAF4-E3A35D857CEC}" name="intellectual_property">
      <calculatedColumnFormula>_xlfn.XLOOKUP(FU$2,Table1[DB ID],Table1[Result],"ZZZZZ")</calculatedColumnFormula>
    </tableColumn>
    <tableColumn id="4" xr3:uid="{656A3F0A-D154-451F-B84A-BEE0247AFA32}" name="r_and_d_investment">
      <calculatedColumnFormula>_xlfn.XLOOKUP(FV$2,Table1[DB ID],Table1[Result],"ZZZZZ")</calculatedColumnFormula>
    </tableColumn>
    <tableColumn id="5" xr3:uid="{4E8F5B7B-5562-4F29-8A27-F35058C2FF8F}" name="ai_ml_adoption_level">
      <calculatedColumnFormula>_xlfn.XLOOKUP(FW$2,Table1[DB ID],Table1[Result],"ZZZZZ")</calculatedColumnFormula>
    </tableColumn>
    <tableColumn id="6" xr3:uid="{AB295E7F-C650-448A-A046-8D68BA4660E8}" name="tech_stack">
      <calculatedColumnFormula>_xlfn.XLOOKUP(FX$2,Table1[DB ID],Table1[Result],"ZZZZZ")</calculatedColumnFormula>
    </tableColumn>
    <tableColumn id="7" xr3:uid="{FB9DFC2E-B8FD-4DFD-935B-EC3D3D868E28}" name="cybersecurity_posture">
      <calculatedColumnFormula>_xlfn.XLOOKUP(FY$2,Table1[DB ID],Table1[Result],"ZZZZZ")</calculatedColumnFormula>
    </tableColumn>
    <tableColumn id="8" xr3:uid="{3466DB3A-2C23-44B6-9FA9-7ADD0AEF9839}" name="partnership_ecosystem">
      <calculatedColumnFormula>_xlfn.XLOOKUP(FZ$2,Table1[DB ID],Table1[Result],"ZZZZZ")</calculatedColumnFormula>
    </tableColumn>
    <tableColumn id="9" xr3:uid="{83D051F9-07DF-4589-AED3-7880A71FBB7B}" name="tech_adoption_rating">
      <calculatedColumnFormula>_xlfn.XLOOKUP(GA$2,Table1[DB ID],Table1[Result],"ZZZZZ")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letsblinkit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linkedin.com/company/letsblinkit" TargetMode="External"/><Relationship Id="rId1" Type="http://schemas.openxmlformats.org/officeDocument/2006/relationships/hyperlink" Target="https://www.blinkit.com/" TargetMode="External"/><Relationship Id="rId6" Type="http://schemas.openxmlformats.org/officeDocument/2006/relationships/hyperlink" Target="mailto:support@blinkit.com" TargetMode="External"/><Relationship Id="rId5" Type="http://schemas.openxmlformats.org/officeDocument/2006/relationships/hyperlink" Target="https://www.linkedin.com/in/albinderdhindsa" TargetMode="External"/><Relationship Id="rId4" Type="http://schemas.openxmlformats.org/officeDocument/2006/relationships/hyperlink" Target="https://www.instagram.com/letsblinki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10" Type="http://schemas.openxmlformats.org/officeDocument/2006/relationships/table" Target="../tables/table12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5AB05-30DC-4D24-BC87-B223436FA318}">
  <dimension ref="A1:J166"/>
  <sheetViews>
    <sheetView topLeftCell="B1" workbookViewId="0">
      <selection activeCell="F3" sqref="F3"/>
    </sheetView>
  </sheetViews>
  <sheetFormatPr baseColWidth="10" defaultColWidth="8.83203125" defaultRowHeight="15" x14ac:dyDescent="0.2"/>
  <cols>
    <col min="1" max="1" width="0" hidden="1" customWidth="1"/>
    <col min="3" max="3" width="30.6640625" bestFit="1" customWidth="1"/>
    <col min="4" max="4" width="12.6640625" bestFit="1" customWidth="1"/>
  </cols>
  <sheetData>
    <row r="1" spans="1:10" ht="24" x14ac:dyDescent="0.3">
      <c r="D1" s="1" t="s">
        <v>0</v>
      </c>
      <c r="E1" s="1"/>
      <c r="F1" s="1"/>
      <c r="G1" s="1"/>
      <c r="H1" s="1"/>
      <c r="I1" s="1"/>
      <c r="J1" s="1"/>
    </row>
    <row r="2" spans="1:10" x14ac:dyDescent="0.2">
      <c r="A2" t="s">
        <v>1</v>
      </c>
      <c r="B2" t="s">
        <v>2</v>
      </c>
      <c r="C2" t="s">
        <v>3</v>
      </c>
      <c r="D2" t="s">
        <v>4</v>
      </c>
      <c r="E2" t="s">
        <v>509</v>
      </c>
      <c r="F2" t="s">
        <v>510</v>
      </c>
      <c r="G2" t="s">
        <v>511</v>
      </c>
      <c r="H2" t="s">
        <v>512</v>
      </c>
      <c r="I2" t="s">
        <v>513</v>
      </c>
      <c r="J2" t="s">
        <v>514</v>
      </c>
    </row>
    <row r="3" spans="1:10" x14ac:dyDescent="0.2">
      <c r="A3">
        <v>1</v>
      </c>
      <c r="B3">
        <v>1</v>
      </c>
      <c r="C3" t="s">
        <v>5</v>
      </c>
      <c r="D3" s="3" t="s">
        <v>346</v>
      </c>
      <c r="E3" s="2"/>
      <c r="F3" s="2"/>
      <c r="G3" s="2"/>
      <c r="I3" s="2"/>
      <c r="J3" s="2"/>
    </row>
    <row r="4" spans="1:10" x14ac:dyDescent="0.2">
      <c r="A4">
        <v>2</v>
      </c>
      <c r="B4">
        <v>2</v>
      </c>
      <c r="C4" t="s">
        <v>6</v>
      </c>
      <c r="D4" s="3" t="s">
        <v>347</v>
      </c>
      <c r="E4" s="3"/>
      <c r="F4" s="3"/>
      <c r="G4" s="3"/>
      <c r="I4" s="3"/>
      <c r="J4" s="3"/>
    </row>
    <row r="5" spans="1:10" x14ac:dyDescent="0.2">
      <c r="A5">
        <v>3</v>
      </c>
      <c r="B5">
        <v>3</v>
      </c>
      <c r="C5" t="s">
        <v>7</v>
      </c>
      <c r="D5" s="4" t="s">
        <v>348</v>
      </c>
      <c r="E5" s="3"/>
      <c r="F5" s="3"/>
      <c r="G5" s="3"/>
      <c r="I5" s="3"/>
      <c r="J5" s="3"/>
    </row>
    <row r="6" spans="1:10" x14ac:dyDescent="0.2">
      <c r="A6">
        <v>4</v>
      </c>
      <c r="B6">
        <v>4</v>
      </c>
      <c r="C6" t="s">
        <v>8</v>
      </c>
      <c r="D6" s="3" t="s">
        <v>349</v>
      </c>
      <c r="E6" s="3"/>
      <c r="F6" s="3"/>
      <c r="G6" s="3"/>
      <c r="I6" s="4"/>
      <c r="J6" s="3"/>
    </row>
    <row r="7" spans="1:10" x14ac:dyDescent="0.2">
      <c r="A7">
        <v>5</v>
      </c>
      <c r="B7">
        <v>5</v>
      </c>
      <c r="C7" t="s">
        <v>9</v>
      </c>
      <c r="D7" s="3" t="s">
        <v>350</v>
      </c>
      <c r="E7" s="3"/>
      <c r="F7" s="3"/>
      <c r="G7" s="3"/>
      <c r="I7" s="3"/>
      <c r="J7" s="3"/>
    </row>
    <row r="8" spans="1:10" x14ac:dyDescent="0.2">
      <c r="A8">
        <v>6</v>
      </c>
      <c r="B8">
        <v>6</v>
      </c>
      <c r="C8" t="s">
        <v>10</v>
      </c>
      <c r="D8" s="3" t="s">
        <v>351</v>
      </c>
      <c r="E8" s="3"/>
      <c r="F8" s="3"/>
      <c r="G8" s="3"/>
      <c r="I8" s="3"/>
      <c r="J8" s="3"/>
    </row>
    <row r="9" spans="1:10" x14ac:dyDescent="0.2">
      <c r="A9">
        <v>7</v>
      </c>
      <c r="B9">
        <v>7</v>
      </c>
      <c r="C9" t="s">
        <v>11</v>
      </c>
      <c r="D9" s="3" t="s">
        <v>352</v>
      </c>
      <c r="E9" s="3"/>
      <c r="F9" s="3"/>
      <c r="G9" s="3"/>
      <c r="I9" s="3"/>
      <c r="J9" s="3"/>
    </row>
    <row r="10" spans="1:10" x14ac:dyDescent="0.2">
      <c r="A10">
        <v>8</v>
      </c>
      <c r="B10">
        <v>8</v>
      </c>
      <c r="C10" t="s">
        <v>12</v>
      </c>
      <c r="D10" s="3" t="s">
        <v>353</v>
      </c>
      <c r="E10" s="3"/>
      <c r="F10" s="3"/>
      <c r="G10" s="3"/>
      <c r="I10" s="3"/>
      <c r="J10" s="3"/>
    </row>
    <row r="11" spans="1:10" x14ac:dyDescent="0.2">
      <c r="A11">
        <v>9</v>
      </c>
      <c r="B11">
        <v>9</v>
      </c>
      <c r="C11" t="s">
        <v>13</v>
      </c>
      <c r="D11" s="3" t="s">
        <v>354</v>
      </c>
      <c r="E11" s="3"/>
      <c r="F11" s="3"/>
      <c r="G11" s="3"/>
      <c r="I11" s="3"/>
      <c r="J11" s="3"/>
    </row>
    <row r="12" spans="1:10" x14ac:dyDescent="0.2">
      <c r="A12">
        <v>10</v>
      </c>
      <c r="B12">
        <v>10</v>
      </c>
      <c r="C12" t="s">
        <v>14</v>
      </c>
      <c r="D12" s="3" t="s">
        <v>355</v>
      </c>
      <c r="E12" s="3"/>
      <c r="F12" s="3"/>
      <c r="G12" s="3"/>
      <c r="I12" s="3"/>
      <c r="J12" s="3"/>
    </row>
    <row r="13" spans="1:10" x14ac:dyDescent="0.2">
      <c r="A13">
        <v>11</v>
      </c>
      <c r="B13">
        <v>11</v>
      </c>
      <c r="C13" t="s">
        <v>15</v>
      </c>
      <c r="D13" s="3" t="s">
        <v>356</v>
      </c>
      <c r="E13" s="3"/>
      <c r="F13" s="3"/>
      <c r="G13" s="3"/>
      <c r="I13" s="3"/>
      <c r="J13" s="3"/>
    </row>
    <row r="14" spans="1:10" x14ac:dyDescent="0.2">
      <c r="A14">
        <v>12</v>
      </c>
      <c r="B14">
        <v>12</v>
      </c>
      <c r="C14" t="s">
        <v>16</v>
      </c>
      <c r="D14" s="3" t="s">
        <v>357</v>
      </c>
      <c r="E14" s="3"/>
      <c r="F14" s="3"/>
      <c r="G14" s="3"/>
      <c r="I14" s="3"/>
      <c r="J14" s="3"/>
    </row>
    <row r="15" spans="1:10" x14ac:dyDescent="0.2">
      <c r="A15">
        <v>13</v>
      </c>
      <c r="B15">
        <v>78</v>
      </c>
      <c r="C15" t="s">
        <v>17</v>
      </c>
      <c r="D15" s="3" t="s">
        <v>358</v>
      </c>
      <c r="E15" s="3"/>
      <c r="F15" s="3"/>
      <c r="G15" s="3"/>
      <c r="I15" s="3"/>
      <c r="J15" s="3"/>
    </row>
    <row r="16" spans="1:10" x14ac:dyDescent="0.2">
      <c r="A16">
        <v>14</v>
      </c>
      <c r="B16">
        <v>79</v>
      </c>
      <c r="C16" t="s">
        <v>18</v>
      </c>
      <c r="D16" s="3" t="s">
        <v>359</v>
      </c>
      <c r="E16" s="3"/>
      <c r="F16" s="3"/>
      <c r="G16" s="3"/>
      <c r="I16" s="3"/>
      <c r="J16" s="3"/>
    </row>
    <row r="17" spans="1:10" x14ac:dyDescent="0.2">
      <c r="A17">
        <v>15</v>
      </c>
      <c r="B17">
        <v>80</v>
      </c>
      <c r="C17" t="s">
        <v>19</v>
      </c>
      <c r="D17" s="3" t="s">
        <v>360</v>
      </c>
      <c r="E17" s="3"/>
      <c r="F17" s="3"/>
      <c r="G17" s="3"/>
      <c r="I17" s="3"/>
      <c r="J17" s="3"/>
    </row>
    <row r="18" spans="1:10" x14ac:dyDescent="0.2">
      <c r="A18">
        <v>16</v>
      </c>
      <c r="B18">
        <v>45</v>
      </c>
      <c r="C18" t="s">
        <v>20</v>
      </c>
      <c r="D18" s="3" t="s">
        <v>361</v>
      </c>
      <c r="E18" s="3"/>
      <c r="F18" s="3"/>
      <c r="G18" s="3"/>
      <c r="I18" s="3"/>
      <c r="J18" s="3"/>
    </row>
    <row r="19" spans="1:10" x14ac:dyDescent="0.2">
      <c r="A19">
        <v>17</v>
      </c>
      <c r="B19">
        <v>46</v>
      </c>
      <c r="C19" t="s">
        <v>21</v>
      </c>
      <c r="D19" s="3" t="s">
        <v>362</v>
      </c>
      <c r="E19" s="3"/>
      <c r="F19" s="3"/>
      <c r="G19" s="3"/>
      <c r="I19" s="3"/>
      <c r="J19" s="3"/>
    </row>
    <row r="20" spans="1:10" x14ac:dyDescent="0.2">
      <c r="A20">
        <v>18</v>
      </c>
      <c r="B20">
        <v>47</v>
      </c>
      <c r="C20" t="s">
        <v>22</v>
      </c>
      <c r="D20" s="3" t="s">
        <v>363</v>
      </c>
      <c r="E20" s="3"/>
      <c r="F20" s="3"/>
      <c r="G20" s="3"/>
      <c r="I20" s="3"/>
      <c r="J20" s="3"/>
    </row>
    <row r="21" spans="1:10" x14ac:dyDescent="0.2">
      <c r="A21">
        <v>19</v>
      </c>
      <c r="B21">
        <v>48</v>
      </c>
      <c r="C21" t="s">
        <v>23</v>
      </c>
      <c r="D21" s="3" t="s">
        <v>364</v>
      </c>
      <c r="E21" s="3"/>
      <c r="F21" s="3"/>
      <c r="G21" s="3"/>
      <c r="I21" s="3"/>
      <c r="J21" s="3"/>
    </row>
    <row r="22" spans="1:10" x14ac:dyDescent="0.2">
      <c r="A22">
        <v>20</v>
      </c>
      <c r="B22">
        <v>49</v>
      </c>
      <c r="C22" t="s">
        <v>24</v>
      </c>
      <c r="D22" s="3" t="s">
        <v>365</v>
      </c>
      <c r="E22" s="3"/>
      <c r="F22" s="3"/>
      <c r="G22" s="3"/>
      <c r="I22" s="3"/>
      <c r="J22" s="3"/>
    </row>
    <row r="23" spans="1:10" x14ac:dyDescent="0.2">
      <c r="A23">
        <v>21</v>
      </c>
      <c r="B23">
        <v>13</v>
      </c>
      <c r="C23" t="s">
        <v>25</v>
      </c>
      <c r="D23" s="3" t="s">
        <v>366</v>
      </c>
      <c r="E23" s="3"/>
      <c r="F23" s="3"/>
      <c r="G23" s="3"/>
      <c r="I23" s="3"/>
      <c r="J23" s="3"/>
    </row>
    <row r="24" spans="1:10" x14ac:dyDescent="0.2">
      <c r="A24">
        <v>22</v>
      </c>
      <c r="B24">
        <v>14</v>
      </c>
      <c r="C24" t="s">
        <v>26</v>
      </c>
      <c r="D24" s="3" t="s">
        <v>367</v>
      </c>
      <c r="E24" s="3"/>
      <c r="F24" s="3"/>
      <c r="G24" s="3"/>
      <c r="I24" s="3"/>
      <c r="J24" s="3"/>
    </row>
    <row r="25" spans="1:10" x14ac:dyDescent="0.2">
      <c r="A25">
        <v>23</v>
      </c>
      <c r="B25">
        <v>15</v>
      </c>
      <c r="C25" t="s">
        <v>27</v>
      </c>
      <c r="D25" s="3" t="s">
        <v>368</v>
      </c>
      <c r="E25" s="3"/>
      <c r="F25" s="3"/>
      <c r="G25" s="3"/>
      <c r="I25" s="3"/>
      <c r="J25" s="3"/>
    </row>
    <row r="26" spans="1:10" x14ac:dyDescent="0.2">
      <c r="A26">
        <v>24</v>
      </c>
      <c r="B26">
        <v>50</v>
      </c>
      <c r="C26" t="s">
        <v>28</v>
      </c>
      <c r="D26" s="3" t="s">
        <v>369</v>
      </c>
      <c r="E26" s="3"/>
      <c r="F26" s="3"/>
      <c r="G26" s="3"/>
      <c r="I26" s="3"/>
      <c r="J26" s="3"/>
    </row>
    <row r="27" spans="1:10" x14ac:dyDescent="0.2">
      <c r="A27">
        <v>25</v>
      </c>
      <c r="B27">
        <v>51</v>
      </c>
      <c r="C27" t="s">
        <v>29</v>
      </c>
      <c r="D27" s="3" t="s">
        <v>370</v>
      </c>
      <c r="E27" s="3"/>
      <c r="F27" s="3"/>
      <c r="G27" s="3"/>
      <c r="I27" s="3"/>
      <c r="J27" s="3"/>
    </row>
    <row r="28" spans="1:10" x14ac:dyDescent="0.2">
      <c r="A28">
        <v>26</v>
      </c>
      <c r="B28">
        <v>52</v>
      </c>
      <c r="C28" t="s">
        <v>30</v>
      </c>
      <c r="D28" s="3" t="s">
        <v>371</v>
      </c>
      <c r="E28" s="3"/>
      <c r="F28" s="3"/>
      <c r="G28" s="3"/>
      <c r="I28" s="3"/>
      <c r="J28" s="3"/>
    </row>
    <row r="29" spans="1:10" x14ac:dyDescent="0.2">
      <c r="A29">
        <v>27</v>
      </c>
      <c r="B29">
        <v>53</v>
      </c>
      <c r="C29" t="s">
        <v>31</v>
      </c>
      <c r="D29" s="3" t="s">
        <v>372</v>
      </c>
      <c r="E29" s="3"/>
      <c r="F29" s="3"/>
      <c r="G29" s="3"/>
      <c r="I29" s="3"/>
      <c r="J29" s="3"/>
    </row>
    <row r="30" spans="1:10" x14ac:dyDescent="0.2">
      <c r="A30">
        <v>28</v>
      </c>
      <c r="B30">
        <v>54</v>
      </c>
      <c r="C30" t="s">
        <v>32</v>
      </c>
      <c r="D30" s="3" t="s">
        <v>373</v>
      </c>
      <c r="E30" s="3"/>
      <c r="F30" s="3"/>
      <c r="G30" s="3"/>
      <c r="I30" s="3"/>
      <c r="J30" s="3"/>
    </row>
    <row r="31" spans="1:10" x14ac:dyDescent="0.2">
      <c r="A31">
        <v>29</v>
      </c>
      <c r="B31">
        <v>156</v>
      </c>
      <c r="C31" t="s">
        <v>33</v>
      </c>
      <c r="D31" s="3" t="s">
        <v>374</v>
      </c>
      <c r="E31" s="3"/>
      <c r="F31" s="3"/>
      <c r="G31" s="3"/>
      <c r="I31" s="3"/>
      <c r="J31" s="3"/>
    </row>
    <row r="32" spans="1:10" x14ac:dyDescent="0.2">
      <c r="A32">
        <v>30</v>
      </c>
      <c r="B32">
        <v>16</v>
      </c>
      <c r="C32" t="s">
        <v>34</v>
      </c>
      <c r="D32" s="3" t="s">
        <v>375</v>
      </c>
      <c r="E32" s="3"/>
      <c r="F32" s="3"/>
      <c r="G32" s="3"/>
      <c r="I32" s="3"/>
      <c r="J32" s="3"/>
    </row>
    <row r="33" spans="1:10" x14ac:dyDescent="0.2">
      <c r="A33">
        <v>31</v>
      </c>
      <c r="B33">
        <v>17</v>
      </c>
      <c r="C33" t="s">
        <v>35</v>
      </c>
      <c r="D33" s="3" t="s">
        <v>376</v>
      </c>
      <c r="E33" s="3"/>
      <c r="F33" s="3"/>
      <c r="G33" s="3"/>
      <c r="I33" s="3"/>
      <c r="J33" s="3"/>
    </row>
    <row r="34" spans="1:10" x14ac:dyDescent="0.2">
      <c r="A34">
        <v>32</v>
      </c>
      <c r="B34">
        <v>18</v>
      </c>
      <c r="C34" t="s">
        <v>36</v>
      </c>
      <c r="D34" s="5" t="s">
        <v>377</v>
      </c>
      <c r="E34" s="3"/>
      <c r="F34" s="3"/>
      <c r="G34" s="3"/>
      <c r="I34" s="3"/>
      <c r="J34" s="3"/>
    </row>
    <row r="35" spans="1:10" x14ac:dyDescent="0.2">
      <c r="A35">
        <v>33</v>
      </c>
      <c r="B35">
        <v>35</v>
      </c>
      <c r="C35" t="s">
        <v>37</v>
      </c>
      <c r="D35" s="3" t="s">
        <v>378</v>
      </c>
      <c r="E35" s="3"/>
      <c r="F35" s="3"/>
      <c r="G35" s="3"/>
      <c r="I35" s="5"/>
      <c r="J35" s="3"/>
    </row>
    <row r="36" spans="1:10" x14ac:dyDescent="0.2">
      <c r="A36">
        <v>34</v>
      </c>
      <c r="B36">
        <v>36</v>
      </c>
      <c r="C36" t="s">
        <v>38</v>
      </c>
      <c r="D36" s="3" t="s">
        <v>379</v>
      </c>
      <c r="E36" s="3"/>
      <c r="F36" s="3"/>
      <c r="G36" s="3"/>
      <c r="I36" s="3"/>
      <c r="J36" s="3"/>
    </row>
    <row r="37" spans="1:10" x14ac:dyDescent="0.2">
      <c r="A37">
        <v>35</v>
      </c>
      <c r="B37">
        <v>37</v>
      </c>
      <c r="C37" t="s">
        <v>39</v>
      </c>
      <c r="D37" s="3" t="s">
        <v>380</v>
      </c>
      <c r="E37" s="3"/>
      <c r="F37" s="3"/>
      <c r="G37" s="3"/>
      <c r="I37" s="3"/>
      <c r="J37" s="3"/>
    </row>
    <row r="38" spans="1:10" x14ac:dyDescent="0.2">
      <c r="A38">
        <v>36</v>
      </c>
      <c r="B38">
        <v>38</v>
      </c>
      <c r="C38" t="s">
        <v>40</v>
      </c>
      <c r="D38" s="3" t="s">
        <v>381</v>
      </c>
      <c r="E38" s="3"/>
      <c r="F38" s="3"/>
      <c r="G38" s="3"/>
      <c r="I38" s="3"/>
      <c r="J38" s="3"/>
    </row>
    <row r="39" spans="1:10" x14ac:dyDescent="0.2">
      <c r="A39">
        <v>37</v>
      </c>
      <c r="B39">
        <v>39</v>
      </c>
      <c r="C39" t="s">
        <v>41</v>
      </c>
      <c r="D39" s="3" t="s">
        <v>382</v>
      </c>
      <c r="E39" s="3"/>
      <c r="F39" s="3"/>
      <c r="G39" s="3"/>
      <c r="I39" s="3"/>
      <c r="J39" s="3"/>
    </row>
    <row r="40" spans="1:10" x14ac:dyDescent="0.2">
      <c r="A40">
        <v>38</v>
      </c>
      <c r="B40">
        <v>40</v>
      </c>
      <c r="C40" t="s">
        <v>42</v>
      </c>
      <c r="D40" s="3" t="s">
        <v>383</v>
      </c>
      <c r="E40" s="3"/>
      <c r="F40" s="3"/>
      <c r="G40" s="3"/>
      <c r="I40" s="3"/>
      <c r="J40" s="3"/>
    </row>
    <row r="41" spans="1:10" x14ac:dyDescent="0.2">
      <c r="A41">
        <v>39</v>
      </c>
      <c r="B41">
        <v>41</v>
      </c>
      <c r="C41" t="s">
        <v>43</v>
      </c>
      <c r="D41" s="3" t="s">
        <v>384</v>
      </c>
      <c r="E41" s="3"/>
      <c r="F41" s="3"/>
      <c r="G41" s="3"/>
      <c r="I41" s="3"/>
      <c r="J41" s="3"/>
    </row>
    <row r="42" spans="1:10" x14ac:dyDescent="0.2">
      <c r="A42">
        <v>40</v>
      </c>
      <c r="B42">
        <v>19</v>
      </c>
      <c r="C42" t="s">
        <v>44</v>
      </c>
      <c r="D42" s="5" t="s">
        <v>385</v>
      </c>
      <c r="E42" s="3"/>
      <c r="F42" s="3"/>
      <c r="G42" s="3"/>
      <c r="I42" s="3"/>
      <c r="J42" s="3"/>
    </row>
    <row r="43" spans="1:10" x14ac:dyDescent="0.2">
      <c r="A43">
        <v>41</v>
      </c>
      <c r="B43">
        <v>20</v>
      </c>
      <c r="C43" t="s">
        <v>45</v>
      </c>
      <c r="D43" s="3" t="s">
        <v>386</v>
      </c>
      <c r="E43" s="3"/>
      <c r="F43" s="3"/>
      <c r="G43" s="3"/>
      <c r="I43" s="5"/>
      <c r="J43" s="3"/>
    </row>
    <row r="44" spans="1:10" x14ac:dyDescent="0.2">
      <c r="A44">
        <v>42</v>
      </c>
      <c r="B44">
        <v>21</v>
      </c>
      <c r="C44" t="s">
        <v>46</v>
      </c>
      <c r="D44" s="5" t="s">
        <v>387</v>
      </c>
      <c r="E44" s="3"/>
      <c r="F44" s="3"/>
      <c r="G44" s="3"/>
      <c r="I44" s="3"/>
      <c r="J44" s="3"/>
    </row>
    <row r="45" spans="1:10" x14ac:dyDescent="0.2">
      <c r="A45">
        <v>43</v>
      </c>
      <c r="B45">
        <v>22</v>
      </c>
      <c r="C45" t="s">
        <v>47</v>
      </c>
      <c r="D45" s="5" t="s">
        <v>388</v>
      </c>
      <c r="E45" s="3"/>
      <c r="F45" s="3"/>
      <c r="G45" s="3"/>
      <c r="I45" s="5"/>
      <c r="J45" s="3"/>
    </row>
    <row r="46" spans="1:10" x14ac:dyDescent="0.2">
      <c r="A46">
        <v>44</v>
      </c>
      <c r="B46">
        <v>124</v>
      </c>
      <c r="C46" t="s">
        <v>48</v>
      </c>
      <c r="D46" s="3" t="s">
        <v>389</v>
      </c>
      <c r="E46" s="3"/>
      <c r="F46" s="3"/>
      <c r="G46" s="3"/>
      <c r="I46" s="5"/>
      <c r="J46" s="3"/>
    </row>
    <row r="47" spans="1:10" x14ac:dyDescent="0.2">
      <c r="A47">
        <v>45</v>
      </c>
      <c r="B47">
        <v>125</v>
      </c>
      <c r="C47" t="s">
        <v>49</v>
      </c>
      <c r="D47" s="5" t="s">
        <v>390</v>
      </c>
      <c r="E47" s="3"/>
      <c r="F47" s="3"/>
      <c r="G47" s="3"/>
      <c r="I47" s="3"/>
      <c r="J47" s="3"/>
    </row>
    <row r="48" spans="1:10" x14ac:dyDescent="0.2">
      <c r="A48">
        <v>46</v>
      </c>
      <c r="B48">
        <v>126</v>
      </c>
      <c r="C48" t="s">
        <v>50</v>
      </c>
      <c r="D48" s="3" t="s">
        <v>391</v>
      </c>
      <c r="E48" s="3"/>
      <c r="F48" s="3"/>
      <c r="G48" s="3"/>
      <c r="I48" s="5"/>
      <c r="J48" s="3"/>
    </row>
    <row r="49" spans="1:10" x14ac:dyDescent="0.2">
      <c r="A49">
        <v>47</v>
      </c>
      <c r="B49">
        <v>127</v>
      </c>
      <c r="C49" t="s">
        <v>51</v>
      </c>
      <c r="D49" s="3" t="s">
        <v>392</v>
      </c>
      <c r="E49" s="3"/>
      <c r="F49" s="3"/>
      <c r="G49" s="3"/>
      <c r="I49" s="3"/>
      <c r="J49" s="3"/>
    </row>
    <row r="50" spans="1:10" x14ac:dyDescent="0.2">
      <c r="A50">
        <v>48</v>
      </c>
      <c r="B50">
        <v>128</v>
      </c>
      <c r="C50" t="s">
        <v>52</v>
      </c>
      <c r="D50" s="3" t="s">
        <v>393</v>
      </c>
      <c r="E50" s="3"/>
      <c r="F50" s="3"/>
      <c r="G50" s="3"/>
      <c r="I50" s="3"/>
      <c r="J50" s="3"/>
    </row>
    <row r="51" spans="1:10" x14ac:dyDescent="0.2">
      <c r="A51">
        <v>49</v>
      </c>
      <c r="B51">
        <v>23</v>
      </c>
      <c r="C51" t="s">
        <v>53</v>
      </c>
      <c r="D51" s="4" t="s">
        <v>394</v>
      </c>
      <c r="E51" s="3"/>
      <c r="F51" s="3"/>
      <c r="G51" s="3"/>
      <c r="I51" s="3"/>
      <c r="J51" s="3"/>
    </row>
    <row r="52" spans="1:10" x14ac:dyDescent="0.2">
      <c r="A52">
        <v>50</v>
      </c>
      <c r="B52">
        <v>24</v>
      </c>
      <c r="C52" t="s">
        <v>54</v>
      </c>
      <c r="D52" s="3" t="s">
        <v>395</v>
      </c>
      <c r="E52" s="3"/>
      <c r="F52" s="3"/>
      <c r="G52" s="3"/>
      <c r="I52" s="4"/>
      <c r="J52" s="3"/>
    </row>
    <row r="53" spans="1:10" x14ac:dyDescent="0.2">
      <c r="A53">
        <v>51</v>
      </c>
      <c r="B53">
        <v>129</v>
      </c>
      <c r="C53" t="s">
        <v>55</v>
      </c>
      <c r="D53" s="3" t="s">
        <v>396</v>
      </c>
      <c r="E53" s="3"/>
      <c r="F53" s="3"/>
      <c r="G53" s="3"/>
      <c r="I53" s="3"/>
      <c r="J53" s="3"/>
    </row>
    <row r="54" spans="1:10" x14ac:dyDescent="0.2">
      <c r="A54">
        <v>52</v>
      </c>
      <c r="B54">
        <v>130</v>
      </c>
      <c r="C54" t="s">
        <v>56</v>
      </c>
      <c r="D54" s="3" t="s">
        <v>397</v>
      </c>
      <c r="E54" s="3"/>
      <c r="F54" s="3"/>
      <c r="G54" s="3"/>
      <c r="I54" s="3"/>
      <c r="J54" s="3"/>
    </row>
    <row r="55" spans="1:10" x14ac:dyDescent="0.2">
      <c r="A55">
        <v>53</v>
      </c>
      <c r="B55">
        <v>131</v>
      </c>
      <c r="C55" t="s">
        <v>57</v>
      </c>
      <c r="D55" s="5" t="s">
        <v>398</v>
      </c>
      <c r="E55" s="3"/>
      <c r="F55" s="3"/>
      <c r="G55" s="3"/>
      <c r="I55" s="3"/>
      <c r="J55" s="3"/>
    </row>
    <row r="56" spans="1:10" x14ac:dyDescent="0.2">
      <c r="A56">
        <v>54</v>
      </c>
      <c r="B56">
        <v>132</v>
      </c>
      <c r="C56" t="s">
        <v>58</v>
      </c>
      <c r="D56" s="3" t="s">
        <v>399</v>
      </c>
      <c r="E56" s="3"/>
      <c r="F56" s="3"/>
      <c r="G56" s="3"/>
      <c r="I56" s="5"/>
      <c r="J56" s="3"/>
    </row>
    <row r="57" spans="1:10" x14ac:dyDescent="0.2">
      <c r="A57">
        <v>55</v>
      </c>
      <c r="B57">
        <v>42</v>
      </c>
      <c r="C57" t="s">
        <v>59</v>
      </c>
      <c r="D57" s="3" t="s">
        <v>400</v>
      </c>
      <c r="E57" s="3"/>
      <c r="F57" s="3"/>
      <c r="G57" s="3"/>
      <c r="I57" s="3"/>
      <c r="J57" s="3"/>
    </row>
    <row r="58" spans="1:10" x14ac:dyDescent="0.2">
      <c r="A58">
        <v>56</v>
      </c>
      <c r="B58">
        <v>43</v>
      </c>
      <c r="C58" t="s">
        <v>60</v>
      </c>
      <c r="D58" s="3" t="s">
        <v>401</v>
      </c>
      <c r="E58" s="3"/>
      <c r="F58" s="3"/>
      <c r="G58" s="3"/>
      <c r="I58" s="3"/>
      <c r="J58" s="3"/>
    </row>
    <row r="59" spans="1:10" x14ac:dyDescent="0.2">
      <c r="A59">
        <v>57</v>
      </c>
      <c r="B59">
        <v>44</v>
      </c>
      <c r="C59" t="s">
        <v>61</v>
      </c>
      <c r="D59" s="3" t="s">
        <v>402</v>
      </c>
      <c r="E59" s="3"/>
      <c r="F59" s="3"/>
      <c r="G59" s="3"/>
      <c r="I59" s="3"/>
      <c r="J59" s="3"/>
    </row>
    <row r="60" spans="1:10" x14ac:dyDescent="0.2">
      <c r="A60">
        <v>58</v>
      </c>
      <c r="B60">
        <v>25</v>
      </c>
      <c r="C60" t="s">
        <v>62</v>
      </c>
      <c r="D60" s="3" t="s">
        <v>403</v>
      </c>
      <c r="E60" s="3"/>
      <c r="F60" s="3"/>
      <c r="G60" s="3"/>
      <c r="I60" s="3"/>
      <c r="J60" s="3"/>
    </row>
    <row r="61" spans="1:10" x14ac:dyDescent="0.2">
      <c r="A61">
        <v>59</v>
      </c>
      <c r="B61">
        <v>26</v>
      </c>
      <c r="C61" t="s">
        <v>63</v>
      </c>
      <c r="D61" s="3" t="s">
        <v>404</v>
      </c>
      <c r="E61" s="3"/>
      <c r="F61" s="3"/>
      <c r="G61" s="3"/>
      <c r="I61" s="3"/>
      <c r="J61" s="3"/>
    </row>
    <row r="62" spans="1:10" x14ac:dyDescent="0.2">
      <c r="A62">
        <v>60</v>
      </c>
      <c r="B62">
        <v>93</v>
      </c>
      <c r="C62" t="s">
        <v>64</v>
      </c>
      <c r="D62" s="3" t="s">
        <v>405</v>
      </c>
      <c r="E62" s="3"/>
      <c r="F62" s="3"/>
      <c r="G62" s="3"/>
      <c r="I62" s="3"/>
      <c r="J62" s="3"/>
    </row>
    <row r="63" spans="1:10" x14ac:dyDescent="0.2">
      <c r="A63">
        <v>61</v>
      </c>
      <c r="B63">
        <v>94</v>
      </c>
      <c r="C63" t="s">
        <v>65</v>
      </c>
      <c r="D63" s="3" t="s">
        <v>406</v>
      </c>
      <c r="E63" s="3"/>
      <c r="F63" s="3"/>
      <c r="G63" s="3"/>
      <c r="I63" s="3"/>
      <c r="J63" s="3"/>
    </row>
    <row r="64" spans="1:10" x14ac:dyDescent="0.2">
      <c r="A64">
        <v>62</v>
      </c>
      <c r="B64">
        <v>95</v>
      </c>
      <c r="C64" t="s">
        <v>66</v>
      </c>
      <c r="D64" s="3" t="s">
        <v>407</v>
      </c>
      <c r="E64" s="3"/>
      <c r="F64" s="3"/>
      <c r="G64" s="3"/>
      <c r="I64" s="3"/>
      <c r="J64" s="3"/>
    </row>
    <row r="65" spans="1:10" x14ac:dyDescent="0.2">
      <c r="A65">
        <v>63</v>
      </c>
      <c r="B65">
        <v>96</v>
      </c>
      <c r="C65" t="s">
        <v>67</v>
      </c>
      <c r="D65" s="3" t="s">
        <v>408</v>
      </c>
      <c r="E65" s="3"/>
      <c r="F65" s="3"/>
      <c r="G65" s="3"/>
      <c r="I65" s="3"/>
      <c r="J65" s="3"/>
    </row>
    <row r="66" spans="1:10" x14ac:dyDescent="0.2">
      <c r="A66">
        <v>64</v>
      </c>
      <c r="B66">
        <v>97</v>
      </c>
      <c r="C66" t="s">
        <v>68</v>
      </c>
      <c r="D66" s="3" t="s">
        <v>409</v>
      </c>
      <c r="E66" s="3"/>
      <c r="F66" s="3"/>
      <c r="G66" s="3"/>
      <c r="I66" s="3"/>
      <c r="J66" s="3"/>
    </row>
    <row r="67" spans="1:10" x14ac:dyDescent="0.2">
      <c r="A67">
        <v>65</v>
      </c>
      <c r="B67">
        <v>98</v>
      </c>
      <c r="C67" t="s">
        <v>69</v>
      </c>
      <c r="D67" s="3" t="s">
        <v>410</v>
      </c>
      <c r="E67" s="3"/>
      <c r="F67" s="3"/>
      <c r="G67" s="3"/>
      <c r="I67" s="3"/>
      <c r="J67" s="3"/>
    </row>
    <row r="68" spans="1:10" x14ac:dyDescent="0.2">
      <c r="A68">
        <v>66</v>
      </c>
      <c r="B68">
        <v>55</v>
      </c>
      <c r="C68" t="s">
        <v>70</v>
      </c>
      <c r="D68" s="3" t="s">
        <v>411</v>
      </c>
      <c r="E68" s="3"/>
      <c r="F68" s="3"/>
      <c r="G68" s="3"/>
      <c r="I68" s="3"/>
      <c r="J68" s="3"/>
    </row>
    <row r="69" spans="1:10" x14ac:dyDescent="0.2">
      <c r="A69">
        <v>67</v>
      </c>
      <c r="B69">
        <v>99</v>
      </c>
      <c r="C69" t="s">
        <v>71</v>
      </c>
      <c r="D69" s="3" t="s">
        <v>412</v>
      </c>
      <c r="E69" s="3"/>
      <c r="F69" s="3"/>
      <c r="G69" s="3"/>
      <c r="I69" s="3"/>
      <c r="J69" s="3"/>
    </row>
    <row r="70" spans="1:10" x14ac:dyDescent="0.2">
      <c r="A70">
        <v>68</v>
      </c>
      <c r="B70">
        <v>100</v>
      </c>
      <c r="C70" t="s">
        <v>72</v>
      </c>
      <c r="D70" s="3" t="s">
        <v>413</v>
      </c>
      <c r="E70" s="3"/>
      <c r="F70" s="3"/>
      <c r="G70" s="3"/>
      <c r="I70" s="3"/>
      <c r="J70" s="3"/>
    </row>
    <row r="71" spans="1:10" x14ac:dyDescent="0.2">
      <c r="A71">
        <v>69</v>
      </c>
      <c r="B71">
        <v>101</v>
      </c>
      <c r="C71" t="s">
        <v>73</v>
      </c>
      <c r="D71" s="3" t="s">
        <v>414</v>
      </c>
      <c r="E71" s="3"/>
      <c r="F71" s="3"/>
      <c r="G71" s="3"/>
      <c r="I71" s="3"/>
      <c r="J71" s="3"/>
    </row>
    <row r="72" spans="1:10" x14ac:dyDescent="0.2">
      <c r="A72">
        <v>70</v>
      </c>
      <c r="B72">
        <v>27</v>
      </c>
      <c r="C72" t="s">
        <v>74</v>
      </c>
      <c r="D72" s="3" t="s">
        <v>415</v>
      </c>
      <c r="E72" s="3"/>
      <c r="F72" s="3"/>
      <c r="G72" s="3"/>
      <c r="I72" s="3"/>
      <c r="J72" s="3"/>
    </row>
    <row r="73" spans="1:10" x14ac:dyDescent="0.2">
      <c r="A73">
        <v>71</v>
      </c>
      <c r="B73">
        <v>56</v>
      </c>
      <c r="C73" t="s">
        <v>75</v>
      </c>
      <c r="D73" s="3" t="s">
        <v>416</v>
      </c>
      <c r="E73" s="3"/>
      <c r="F73" s="3"/>
      <c r="G73" s="3"/>
      <c r="I73" s="3"/>
      <c r="J73" s="3"/>
    </row>
    <row r="74" spans="1:10" x14ac:dyDescent="0.2">
      <c r="A74">
        <v>72</v>
      </c>
      <c r="B74">
        <v>102</v>
      </c>
      <c r="C74" t="s">
        <v>76</v>
      </c>
      <c r="D74" s="3" t="s">
        <v>417</v>
      </c>
      <c r="E74" s="3"/>
      <c r="F74" s="3"/>
      <c r="G74" s="3"/>
      <c r="I74" s="3"/>
      <c r="J74" s="3"/>
    </row>
    <row r="75" spans="1:10" x14ac:dyDescent="0.2">
      <c r="A75">
        <v>73</v>
      </c>
      <c r="B75">
        <v>103</v>
      </c>
      <c r="C75" t="s">
        <v>77</v>
      </c>
      <c r="D75" s="3" t="s">
        <v>418</v>
      </c>
      <c r="E75" s="3"/>
      <c r="F75" s="3"/>
      <c r="G75" s="3"/>
      <c r="I75" s="3"/>
      <c r="J75" s="3"/>
    </row>
    <row r="76" spans="1:10" x14ac:dyDescent="0.2">
      <c r="A76">
        <v>74</v>
      </c>
      <c r="B76">
        <v>104</v>
      </c>
      <c r="C76" t="s">
        <v>78</v>
      </c>
      <c r="D76" s="3" t="s">
        <v>419</v>
      </c>
      <c r="E76" s="3"/>
      <c r="F76" s="3"/>
      <c r="G76" s="3"/>
      <c r="I76" s="3"/>
      <c r="J76" s="3"/>
    </row>
    <row r="77" spans="1:10" x14ac:dyDescent="0.2">
      <c r="A77">
        <v>75</v>
      </c>
      <c r="B77">
        <v>105</v>
      </c>
      <c r="C77" t="s">
        <v>79</v>
      </c>
      <c r="D77" s="3" t="s">
        <v>420</v>
      </c>
      <c r="E77" s="3"/>
      <c r="F77" s="3"/>
      <c r="G77" s="3"/>
      <c r="I77" s="3"/>
      <c r="J77" s="3"/>
    </row>
    <row r="78" spans="1:10" x14ac:dyDescent="0.2">
      <c r="A78">
        <v>76</v>
      </c>
      <c r="B78">
        <v>106</v>
      </c>
      <c r="C78" t="s">
        <v>80</v>
      </c>
      <c r="D78" s="3" t="s">
        <v>421</v>
      </c>
      <c r="E78" s="3"/>
      <c r="F78" s="3"/>
      <c r="G78" s="3"/>
      <c r="I78" s="3"/>
      <c r="J78" s="3"/>
    </row>
    <row r="79" spans="1:10" x14ac:dyDescent="0.2">
      <c r="A79">
        <v>77</v>
      </c>
      <c r="B79">
        <v>57</v>
      </c>
      <c r="C79" t="s">
        <v>81</v>
      </c>
      <c r="D79" s="3" t="s">
        <v>422</v>
      </c>
      <c r="E79" s="3"/>
      <c r="F79" s="3"/>
      <c r="G79" s="3"/>
      <c r="I79" s="3"/>
      <c r="J79" s="3"/>
    </row>
    <row r="80" spans="1:10" x14ac:dyDescent="0.2">
      <c r="A80">
        <v>78</v>
      </c>
      <c r="B80">
        <v>107</v>
      </c>
      <c r="C80" t="s">
        <v>82</v>
      </c>
      <c r="D80" s="3" t="s">
        <v>423</v>
      </c>
      <c r="E80" s="3"/>
      <c r="F80" s="3"/>
      <c r="G80" s="3"/>
      <c r="I80" s="3"/>
      <c r="J80" s="3"/>
    </row>
    <row r="81" spans="1:10" x14ac:dyDescent="0.2">
      <c r="A81">
        <v>79</v>
      </c>
      <c r="B81">
        <v>108</v>
      </c>
      <c r="C81" t="s">
        <v>83</v>
      </c>
      <c r="D81" s="3" t="s">
        <v>424</v>
      </c>
      <c r="E81" s="3"/>
      <c r="F81" s="3"/>
      <c r="G81" s="3"/>
      <c r="I81" s="3"/>
      <c r="J81" s="3"/>
    </row>
    <row r="82" spans="1:10" x14ac:dyDescent="0.2">
      <c r="A82">
        <v>80</v>
      </c>
      <c r="B82">
        <v>109</v>
      </c>
      <c r="C82" t="s">
        <v>84</v>
      </c>
      <c r="D82" s="3" t="s">
        <v>425</v>
      </c>
      <c r="E82" s="3"/>
      <c r="F82" s="3"/>
      <c r="G82" s="3"/>
      <c r="I82" s="3"/>
      <c r="J82" s="3"/>
    </row>
    <row r="83" spans="1:10" x14ac:dyDescent="0.2">
      <c r="A83">
        <v>81</v>
      </c>
      <c r="B83">
        <v>157</v>
      </c>
      <c r="C83" t="s">
        <v>85</v>
      </c>
      <c r="D83" s="3" t="s">
        <v>426</v>
      </c>
      <c r="E83" s="3"/>
      <c r="F83" s="3"/>
      <c r="G83" s="3"/>
      <c r="I83" s="3"/>
      <c r="J83" s="3"/>
    </row>
    <row r="84" spans="1:10" x14ac:dyDescent="0.2">
      <c r="A84">
        <v>82</v>
      </c>
      <c r="B84">
        <v>158</v>
      </c>
      <c r="C84" t="s">
        <v>86</v>
      </c>
      <c r="D84" s="3" t="s">
        <v>427</v>
      </c>
      <c r="E84" s="3"/>
      <c r="F84" s="3"/>
      <c r="G84" s="3"/>
      <c r="I84" s="3"/>
      <c r="J84" s="3"/>
    </row>
    <row r="85" spans="1:10" x14ac:dyDescent="0.2">
      <c r="A85">
        <v>83</v>
      </c>
      <c r="B85">
        <v>159</v>
      </c>
      <c r="C85" t="s">
        <v>87</v>
      </c>
      <c r="D85" s="3" t="s">
        <v>428</v>
      </c>
      <c r="E85" s="3"/>
      <c r="F85" s="3"/>
      <c r="G85" s="3"/>
      <c r="I85" s="3"/>
      <c r="J85" s="3"/>
    </row>
    <row r="86" spans="1:10" x14ac:dyDescent="0.2">
      <c r="A86">
        <v>84</v>
      </c>
      <c r="B86">
        <v>160</v>
      </c>
      <c r="C86" t="s">
        <v>88</v>
      </c>
      <c r="D86" s="3" t="s">
        <v>429</v>
      </c>
      <c r="E86" s="3"/>
      <c r="F86" s="3"/>
      <c r="G86" s="3"/>
      <c r="I86" s="3"/>
      <c r="J86" s="3"/>
    </row>
    <row r="87" spans="1:10" x14ac:dyDescent="0.2">
      <c r="A87">
        <v>85</v>
      </c>
      <c r="B87">
        <v>161</v>
      </c>
      <c r="C87" t="s">
        <v>89</v>
      </c>
      <c r="D87" s="3" t="s">
        <v>430</v>
      </c>
      <c r="E87" s="3"/>
      <c r="F87" s="3"/>
      <c r="G87" s="3"/>
      <c r="I87" s="3"/>
      <c r="J87" s="3"/>
    </row>
    <row r="88" spans="1:10" x14ac:dyDescent="0.2">
      <c r="A88">
        <v>86</v>
      </c>
      <c r="B88">
        <v>28</v>
      </c>
      <c r="C88" t="s">
        <v>90</v>
      </c>
      <c r="D88" s="3" t="s">
        <v>431</v>
      </c>
      <c r="E88" s="3"/>
      <c r="F88" s="3"/>
      <c r="G88" s="3"/>
      <c r="I88" s="3"/>
      <c r="J88" s="3"/>
    </row>
    <row r="89" spans="1:10" x14ac:dyDescent="0.2">
      <c r="A89">
        <v>87</v>
      </c>
      <c r="B89">
        <v>29</v>
      </c>
      <c r="C89" t="s">
        <v>91</v>
      </c>
      <c r="D89" s="3" t="s">
        <v>432</v>
      </c>
      <c r="E89" s="3"/>
      <c r="F89" s="3"/>
      <c r="G89" s="3"/>
      <c r="I89" s="3"/>
      <c r="J89" s="3"/>
    </row>
    <row r="90" spans="1:10" x14ac:dyDescent="0.2">
      <c r="A90">
        <v>88</v>
      </c>
      <c r="B90">
        <v>30</v>
      </c>
      <c r="C90" t="s">
        <v>92</v>
      </c>
      <c r="D90" s="3" t="s">
        <v>433</v>
      </c>
      <c r="E90" s="3"/>
      <c r="F90" s="3"/>
      <c r="G90" s="3"/>
      <c r="I90" s="3"/>
      <c r="J90" s="3"/>
    </row>
    <row r="91" spans="1:10" x14ac:dyDescent="0.2">
      <c r="A91">
        <v>89</v>
      </c>
      <c r="B91">
        <v>81</v>
      </c>
      <c r="C91" t="s">
        <v>93</v>
      </c>
      <c r="D91" s="3" t="s">
        <v>434</v>
      </c>
      <c r="E91" s="3"/>
      <c r="F91" s="3"/>
      <c r="G91" s="3"/>
      <c r="I91" s="3"/>
      <c r="J91" s="3"/>
    </row>
    <row r="92" spans="1:10" x14ac:dyDescent="0.2">
      <c r="A92">
        <v>90</v>
      </c>
      <c r="B92">
        <v>110</v>
      </c>
      <c r="C92" t="s">
        <v>94</v>
      </c>
      <c r="D92" s="3" t="s">
        <v>435</v>
      </c>
      <c r="E92" s="3"/>
      <c r="F92" s="3"/>
      <c r="G92" s="3"/>
      <c r="I92" s="3"/>
      <c r="J92" s="3"/>
    </row>
    <row r="93" spans="1:10" x14ac:dyDescent="0.2">
      <c r="A93">
        <v>91</v>
      </c>
      <c r="B93">
        <v>134</v>
      </c>
      <c r="C93" t="s">
        <v>95</v>
      </c>
      <c r="D93" s="3" t="s">
        <v>436</v>
      </c>
      <c r="E93" s="3"/>
      <c r="F93" s="3"/>
      <c r="G93" s="3"/>
      <c r="I93" s="3"/>
      <c r="J93" s="3"/>
    </row>
    <row r="94" spans="1:10" x14ac:dyDescent="0.2">
      <c r="A94">
        <v>92</v>
      </c>
      <c r="B94">
        <v>162</v>
      </c>
      <c r="C94" t="s">
        <v>96</v>
      </c>
      <c r="D94" s="3" t="s">
        <v>437</v>
      </c>
      <c r="E94" s="3"/>
      <c r="F94" s="3"/>
      <c r="G94" s="3"/>
      <c r="I94" s="3"/>
      <c r="J94" s="3"/>
    </row>
    <row r="95" spans="1:10" x14ac:dyDescent="0.2">
      <c r="A95">
        <v>93</v>
      </c>
      <c r="B95">
        <v>58</v>
      </c>
      <c r="C95" t="s">
        <v>97</v>
      </c>
      <c r="D95" s="3" t="s">
        <v>438</v>
      </c>
      <c r="E95" s="3"/>
      <c r="F95" s="3"/>
      <c r="G95" s="3"/>
      <c r="I95" s="3"/>
      <c r="J95" s="3"/>
    </row>
    <row r="96" spans="1:10" x14ac:dyDescent="0.2">
      <c r="A96">
        <v>94</v>
      </c>
      <c r="B96">
        <v>31</v>
      </c>
      <c r="C96" t="s">
        <v>98</v>
      </c>
      <c r="D96" s="3" t="s">
        <v>439</v>
      </c>
      <c r="E96" s="3"/>
      <c r="F96" s="3"/>
      <c r="G96" s="3"/>
      <c r="I96" s="3"/>
      <c r="J96" s="3"/>
    </row>
    <row r="97" spans="1:10" x14ac:dyDescent="0.2">
      <c r="A97">
        <v>95</v>
      </c>
      <c r="B97">
        <v>32</v>
      </c>
      <c r="C97" t="s">
        <v>99</v>
      </c>
      <c r="D97" s="3" t="s">
        <v>440</v>
      </c>
      <c r="E97" s="3"/>
      <c r="F97" s="3"/>
      <c r="G97" s="3"/>
      <c r="I97" s="3"/>
      <c r="J97" s="3"/>
    </row>
    <row r="98" spans="1:10" x14ac:dyDescent="0.2">
      <c r="A98">
        <v>96</v>
      </c>
      <c r="B98">
        <v>59</v>
      </c>
      <c r="C98" t="s">
        <v>100</v>
      </c>
      <c r="D98" s="3" t="s">
        <v>441</v>
      </c>
      <c r="E98" s="3"/>
      <c r="F98" s="3"/>
      <c r="G98" s="3"/>
      <c r="I98" s="3"/>
      <c r="J98" s="3"/>
    </row>
    <row r="99" spans="1:10" x14ac:dyDescent="0.2">
      <c r="A99">
        <v>97</v>
      </c>
      <c r="B99">
        <v>60</v>
      </c>
      <c r="C99" t="s">
        <v>101</v>
      </c>
      <c r="D99" s="3" t="s">
        <v>442</v>
      </c>
      <c r="E99" s="3"/>
      <c r="F99" s="3"/>
      <c r="G99" s="3"/>
      <c r="I99" s="3"/>
      <c r="J99" s="3"/>
    </row>
    <row r="100" spans="1:10" x14ac:dyDescent="0.2">
      <c r="A100">
        <v>98</v>
      </c>
      <c r="B100">
        <v>61</v>
      </c>
      <c r="C100" t="s">
        <v>102</v>
      </c>
      <c r="D100" s="3" t="s">
        <v>443</v>
      </c>
      <c r="E100" s="3"/>
      <c r="F100" s="3"/>
      <c r="G100" s="3"/>
      <c r="I100" s="3"/>
      <c r="J100" s="3"/>
    </row>
    <row r="101" spans="1:10" x14ac:dyDescent="0.2">
      <c r="A101">
        <v>99</v>
      </c>
      <c r="B101">
        <v>62</v>
      </c>
      <c r="C101" t="s">
        <v>103</v>
      </c>
      <c r="D101" s="3" t="s">
        <v>444</v>
      </c>
      <c r="E101" s="3"/>
      <c r="F101" s="3"/>
      <c r="G101" s="3"/>
      <c r="I101" s="3"/>
      <c r="J101" s="3"/>
    </row>
    <row r="102" spans="1:10" x14ac:dyDescent="0.2">
      <c r="A102">
        <v>100</v>
      </c>
      <c r="B102">
        <v>63</v>
      </c>
      <c r="C102" t="s">
        <v>104</v>
      </c>
      <c r="D102" s="3" t="s">
        <v>445</v>
      </c>
      <c r="E102" s="3"/>
      <c r="F102" s="3"/>
      <c r="G102" s="3"/>
      <c r="I102" s="3"/>
      <c r="J102" s="3"/>
    </row>
    <row r="103" spans="1:10" x14ac:dyDescent="0.2">
      <c r="A103">
        <v>101</v>
      </c>
      <c r="B103">
        <v>64</v>
      </c>
      <c r="C103" t="s">
        <v>105</v>
      </c>
      <c r="D103" s="3" t="s">
        <v>446</v>
      </c>
      <c r="E103" s="3"/>
      <c r="F103" s="3"/>
      <c r="G103" s="3"/>
      <c r="I103" s="3"/>
      <c r="J103" s="3"/>
    </row>
    <row r="104" spans="1:10" x14ac:dyDescent="0.2">
      <c r="A104">
        <v>102</v>
      </c>
      <c r="B104">
        <v>65</v>
      </c>
      <c r="C104" t="s">
        <v>106</v>
      </c>
      <c r="D104" s="3" t="s">
        <v>447</v>
      </c>
      <c r="E104" s="3"/>
      <c r="F104" s="3"/>
      <c r="G104" s="3"/>
      <c r="I104" s="3"/>
      <c r="J104" s="3"/>
    </row>
    <row r="105" spans="1:10" x14ac:dyDescent="0.2">
      <c r="A105">
        <v>103</v>
      </c>
      <c r="B105">
        <v>66</v>
      </c>
      <c r="C105" t="s">
        <v>107</v>
      </c>
      <c r="D105" s="3" t="s">
        <v>448</v>
      </c>
      <c r="E105" s="3"/>
      <c r="F105" s="3"/>
      <c r="G105" s="3"/>
      <c r="I105" s="3"/>
      <c r="J105" s="3"/>
    </row>
    <row r="106" spans="1:10" x14ac:dyDescent="0.2">
      <c r="A106">
        <v>104</v>
      </c>
      <c r="B106">
        <v>133</v>
      </c>
      <c r="C106" t="s">
        <v>108</v>
      </c>
      <c r="D106" s="3" t="s">
        <v>449</v>
      </c>
      <c r="E106" s="3"/>
      <c r="F106" s="3"/>
      <c r="G106" s="3"/>
      <c r="I106" s="3"/>
      <c r="J106" s="3"/>
    </row>
    <row r="107" spans="1:10" x14ac:dyDescent="0.2">
      <c r="A107">
        <v>105</v>
      </c>
      <c r="B107">
        <v>33</v>
      </c>
      <c r="C107" t="s">
        <v>109</v>
      </c>
      <c r="D107" s="4" t="s">
        <v>450</v>
      </c>
      <c r="E107" s="3"/>
      <c r="F107" s="3"/>
      <c r="G107" s="3"/>
      <c r="I107" s="3"/>
      <c r="J107" s="3"/>
    </row>
    <row r="108" spans="1:10" x14ac:dyDescent="0.2">
      <c r="A108">
        <v>106</v>
      </c>
      <c r="B108">
        <v>34</v>
      </c>
      <c r="C108" t="s">
        <v>110</v>
      </c>
      <c r="D108" s="3" t="s">
        <v>451</v>
      </c>
      <c r="E108" s="3"/>
      <c r="F108" s="3"/>
      <c r="G108" s="3"/>
      <c r="I108" s="4"/>
      <c r="J108" s="3"/>
    </row>
    <row r="109" spans="1:10" x14ac:dyDescent="0.2">
      <c r="A109">
        <v>107</v>
      </c>
      <c r="B109">
        <v>163</v>
      </c>
      <c r="C109" t="s">
        <v>111</v>
      </c>
      <c r="D109" s="3" t="s">
        <v>452</v>
      </c>
      <c r="E109" s="3"/>
      <c r="F109" s="3"/>
      <c r="G109" s="3"/>
      <c r="I109" s="3"/>
      <c r="J109" s="3"/>
    </row>
    <row r="110" spans="1:10" x14ac:dyDescent="0.2">
      <c r="A110">
        <v>108</v>
      </c>
      <c r="B110">
        <v>67</v>
      </c>
      <c r="C110" t="s">
        <v>112</v>
      </c>
      <c r="D110" s="3" t="s">
        <v>453</v>
      </c>
      <c r="E110" s="3"/>
      <c r="F110" s="3"/>
      <c r="G110" s="3"/>
      <c r="I110" s="3"/>
      <c r="J110" s="3"/>
    </row>
    <row r="111" spans="1:10" x14ac:dyDescent="0.2">
      <c r="A111">
        <v>109</v>
      </c>
      <c r="B111">
        <v>68</v>
      </c>
      <c r="C111" t="s">
        <v>113</v>
      </c>
      <c r="D111" s="3" t="s">
        <v>454</v>
      </c>
      <c r="E111" s="3"/>
      <c r="F111" s="3"/>
      <c r="G111" s="3"/>
      <c r="I111" s="3"/>
      <c r="J111" s="3"/>
    </row>
    <row r="112" spans="1:10" x14ac:dyDescent="0.2">
      <c r="A112">
        <v>110</v>
      </c>
      <c r="B112">
        <v>69</v>
      </c>
      <c r="C112" t="s">
        <v>114</v>
      </c>
      <c r="D112" s="3" t="s">
        <v>455</v>
      </c>
      <c r="E112" s="3"/>
      <c r="F112" s="3"/>
      <c r="G112" s="3"/>
      <c r="I112" s="3"/>
      <c r="J112" s="3"/>
    </row>
    <row r="113" spans="1:10" x14ac:dyDescent="0.2">
      <c r="A113">
        <v>111</v>
      </c>
      <c r="B113">
        <v>82</v>
      </c>
      <c r="C113" t="s">
        <v>115</v>
      </c>
      <c r="D113" s="3" t="s">
        <v>456</v>
      </c>
      <c r="E113" s="3"/>
      <c r="F113" s="3"/>
      <c r="G113" s="3"/>
      <c r="I113" s="3"/>
      <c r="J113" s="3"/>
    </row>
    <row r="114" spans="1:10" x14ac:dyDescent="0.2">
      <c r="A114">
        <v>112</v>
      </c>
      <c r="B114">
        <v>83</v>
      </c>
      <c r="C114" t="s">
        <v>116</v>
      </c>
      <c r="D114" s="3" t="s">
        <v>457</v>
      </c>
      <c r="E114" s="3"/>
      <c r="F114" s="3"/>
      <c r="G114" s="3"/>
      <c r="I114" s="3"/>
      <c r="J114" s="3"/>
    </row>
    <row r="115" spans="1:10" x14ac:dyDescent="0.2">
      <c r="A115">
        <v>113</v>
      </c>
      <c r="B115">
        <v>84</v>
      </c>
      <c r="C115" t="s">
        <v>117</v>
      </c>
      <c r="D115" s="3" t="s">
        <v>458</v>
      </c>
      <c r="E115" s="3"/>
      <c r="F115" s="3"/>
      <c r="G115" s="3"/>
      <c r="I115" s="3"/>
      <c r="J115" s="3"/>
    </row>
    <row r="116" spans="1:10" x14ac:dyDescent="0.2">
      <c r="A116">
        <v>114</v>
      </c>
      <c r="B116">
        <v>85</v>
      </c>
      <c r="C116" t="s">
        <v>118</v>
      </c>
      <c r="D116" s="3" t="s">
        <v>459</v>
      </c>
      <c r="E116" s="3"/>
      <c r="F116" s="3"/>
      <c r="G116" s="3"/>
      <c r="I116" s="3"/>
      <c r="J116" s="3"/>
    </row>
    <row r="117" spans="1:10" x14ac:dyDescent="0.2">
      <c r="A117">
        <v>115</v>
      </c>
      <c r="B117">
        <v>86</v>
      </c>
      <c r="C117" t="s">
        <v>119</v>
      </c>
      <c r="D117" s="3" t="s">
        <v>460</v>
      </c>
      <c r="E117" s="3"/>
      <c r="F117" s="3"/>
      <c r="G117" s="3"/>
      <c r="I117" s="3"/>
      <c r="J117" s="3"/>
    </row>
    <row r="118" spans="1:10" x14ac:dyDescent="0.2">
      <c r="A118">
        <v>116</v>
      </c>
      <c r="B118">
        <v>87</v>
      </c>
      <c r="C118" t="s">
        <v>120</v>
      </c>
      <c r="D118" s="3" t="s">
        <v>461</v>
      </c>
      <c r="E118" s="3"/>
      <c r="F118" s="3"/>
      <c r="G118" s="3"/>
      <c r="I118" s="3"/>
      <c r="J118" s="3"/>
    </row>
    <row r="119" spans="1:10" x14ac:dyDescent="0.2">
      <c r="A119">
        <v>117</v>
      </c>
      <c r="B119">
        <v>111</v>
      </c>
      <c r="C119" t="s">
        <v>121</v>
      </c>
      <c r="D119" s="3" t="s">
        <v>462</v>
      </c>
      <c r="E119" s="3"/>
      <c r="F119" s="3"/>
      <c r="G119" s="3"/>
      <c r="I119" s="3"/>
      <c r="J119" s="3"/>
    </row>
    <row r="120" spans="1:10" x14ac:dyDescent="0.2">
      <c r="A120">
        <v>118</v>
      </c>
      <c r="B120">
        <v>112</v>
      </c>
      <c r="C120" t="s">
        <v>122</v>
      </c>
      <c r="D120" s="3" t="s">
        <v>463</v>
      </c>
      <c r="E120" s="3"/>
      <c r="F120" s="3"/>
      <c r="G120" s="3"/>
      <c r="I120" s="3"/>
      <c r="J120" s="3"/>
    </row>
    <row r="121" spans="1:10" x14ac:dyDescent="0.2">
      <c r="A121">
        <v>119</v>
      </c>
      <c r="B121">
        <v>113</v>
      </c>
      <c r="C121" t="s">
        <v>123</v>
      </c>
      <c r="D121" s="3" t="s">
        <v>464</v>
      </c>
      <c r="E121" s="3"/>
      <c r="F121" s="3"/>
      <c r="G121" s="3"/>
      <c r="I121" s="3"/>
      <c r="J121" s="3"/>
    </row>
    <row r="122" spans="1:10" x14ac:dyDescent="0.2">
      <c r="A122">
        <v>120</v>
      </c>
      <c r="B122">
        <v>114</v>
      </c>
      <c r="C122" t="s">
        <v>124</v>
      </c>
      <c r="D122" s="3" t="s">
        <v>465</v>
      </c>
      <c r="E122" s="3"/>
      <c r="F122" s="3"/>
      <c r="G122" s="3"/>
      <c r="I122" s="3"/>
      <c r="J122" s="3"/>
    </row>
    <row r="123" spans="1:10" x14ac:dyDescent="0.2">
      <c r="A123">
        <v>121</v>
      </c>
      <c r="B123">
        <v>70</v>
      </c>
      <c r="C123" t="s">
        <v>125</v>
      </c>
      <c r="D123" s="3" t="s">
        <v>466</v>
      </c>
      <c r="E123" s="3"/>
      <c r="F123" s="3"/>
      <c r="G123" s="3"/>
      <c r="I123" s="3"/>
      <c r="J123" s="3"/>
    </row>
    <row r="124" spans="1:10" x14ac:dyDescent="0.2">
      <c r="A124">
        <v>122</v>
      </c>
      <c r="B124">
        <v>88</v>
      </c>
      <c r="C124" t="s">
        <v>126</v>
      </c>
      <c r="D124" s="3" t="s">
        <v>467</v>
      </c>
      <c r="E124" s="3"/>
      <c r="F124" s="3"/>
      <c r="G124" s="3"/>
      <c r="I124" s="3"/>
      <c r="J124" s="3"/>
    </row>
    <row r="125" spans="1:10" x14ac:dyDescent="0.2">
      <c r="A125">
        <v>123</v>
      </c>
      <c r="B125">
        <v>115</v>
      </c>
      <c r="C125" t="s">
        <v>127</v>
      </c>
      <c r="D125" s="3" t="s">
        <v>468</v>
      </c>
      <c r="E125" s="3"/>
      <c r="F125" s="3"/>
      <c r="G125" s="3"/>
      <c r="I125" s="3"/>
      <c r="J125" s="3"/>
    </row>
    <row r="126" spans="1:10" x14ac:dyDescent="0.2">
      <c r="A126">
        <v>124</v>
      </c>
      <c r="B126">
        <v>116</v>
      </c>
      <c r="C126" t="s">
        <v>128</v>
      </c>
      <c r="D126" s="3" t="s">
        <v>469</v>
      </c>
      <c r="E126" s="3"/>
      <c r="F126" s="3"/>
      <c r="G126" s="3"/>
      <c r="I126" s="3"/>
      <c r="J126" s="3"/>
    </row>
    <row r="127" spans="1:10" x14ac:dyDescent="0.2">
      <c r="A127">
        <v>125</v>
      </c>
      <c r="B127">
        <v>117</v>
      </c>
      <c r="C127" t="s">
        <v>129</v>
      </c>
      <c r="D127" s="3" t="s">
        <v>470</v>
      </c>
      <c r="E127" s="3"/>
      <c r="F127" s="3"/>
      <c r="G127" s="3"/>
      <c r="I127" s="3"/>
      <c r="J127" s="3"/>
    </row>
    <row r="128" spans="1:10" x14ac:dyDescent="0.2">
      <c r="A128">
        <v>126</v>
      </c>
      <c r="B128">
        <v>118</v>
      </c>
      <c r="C128" t="s">
        <v>130</v>
      </c>
      <c r="D128" s="3" t="s">
        <v>471</v>
      </c>
      <c r="E128" s="3"/>
      <c r="F128" s="3"/>
      <c r="G128" s="3"/>
      <c r="I128" s="3"/>
      <c r="J128" s="3"/>
    </row>
    <row r="129" spans="1:10" x14ac:dyDescent="0.2">
      <c r="A129">
        <v>127</v>
      </c>
      <c r="B129">
        <v>119</v>
      </c>
      <c r="C129" t="s">
        <v>131</v>
      </c>
      <c r="D129" s="3" t="s">
        <v>472</v>
      </c>
      <c r="E129" s="3"/>
      <c r="F129" s="3"/>
      <c r="G129" s="3"/>
      <c r="I129" s="3"/>
      <c r="J129" s="3"/>
    </row>
    <row r="130" spans="1:10" x14ac:dyDescent="0.2">
      <c r="A130">
        <v>128</v>
      </c>
      <c r="B130">
        <v>120</v>
      </c>
      <c r="C130" t="s">
        <v>132</v>
      </c>
      <c r="D130" s="3" t="s">
        <v>473</v>
      </c>
      <c r="E130" s="3"/>
      <c r="F130" s="3"/>
      <c r="G130" s="3"/>
      <c r="I130" s="3"/>
      <c r="J130" s="3"/>
    </row>
    <row r="131" spans="1:10" x14ac:dyDescent="0.2">
      <c r="A131">
        <v>129</v>
      </c>
      <c r="B131">
        <v>121</v>
      </c>
      <c r="C131" t="s">
        <v>133</v>
      </c>
      <c r="D131" s="3" t="s">
        <v>474</v>
      </c>
      <c r="E131" s="3"/>
      <c r="F131" s="3"/>
      <c r="G131" s="3"/>
      <c r="I131" s="3"/>
      <c r="J131" s="3"/>
    </row>
    <row r="132" spans="1:10" x14ac:dyDescent="0.2">
      <c r="A132">
        <v>130</v>
      </c>
      <c r="B132">
        <v>122</v>
      </c>
      <c r="C132" t="s">
        <v>134</v>
      </c>
      <c r="D132" s="3" t="s">
        <v>475</v>
      </c>
      <c r="E132" s="3"/>
      <c r="F132" s="3"/>
      <c r="G132" s="3"/>
      <c r="I132" s="3"/>
      <c r="J132" s="3"/>
    </row>
    <row r="133" spans="1:10" x14ac:dyDescent="0.2">
      <c r="A133">
        <v>131</v>
      </c>
      <c r="B133">
        <v>123</v>
      </c>
      <c r="C133" t="s">
        <v>135</v>
      </c>
      <c r="D133" s="3" t="s">
        <v>476</v>
      </c>
      <c r="E133" s="3"/>
      <c r="F133" s="3"/>
      <c r="G133" s="3"/>
      <c r="I133" s="3"/>
      <c r="J133" s="3"/>
    </row>
    <row r="134" spans="1:10" x14ac:dyDescent="0.2">
      <c r="A134">
        <v>132</v>
      </c>
      <c r="B134">
        <v>71</v>
      </c>
      <c r="C134" t="s">
        <v>136</v>
      </c>
      <c r="D134" s="3" t="s">
        <v>477</v>
      </c>
      <c r="E134" s="3"/>
      <c r="F134" s="3"/>
      <c r="G134" s="3"/>
      <c r="I134" s="3"/>
      <c r="J134" s="3"/>
    </row>
    <row r="135" spans="1:10" x14ac:dyDescent="0.2">
      <c r="A135">
        <v>133</v>
      </c>
      <c r="B135">
        <v>135</v>
      </c>
      <c r="C135" t="s">
        <v>137</v>
      </c>
      <c r="D135" s="3" t="s">
        <v>478</v>
      </c>
      <c r="E135" s="3"/>
      <c r="F135" s="3"/>
      <c r="G135" s="3"/>
      <c r="I135" s="3"/>
      <c r="J135" s="3"/>
    </row>
    <row r="136" spans="1:10" x14ac:dyDescent="0.2">
      <c r="A136">
        <v>134</v>
      </c>
      <c r="B136">
        <v>136</v>
      </c>
      <c r="C136" t="s">
        <v>138</v>
      </c>
      <c r="D136" s="3" t="s">
        <v>479</v>
      </c>
      <c r="E136" s="3"/>
      <c r="F136" s="3"/>
      <c r="G136" s="3"/>
      <c r="I136" s="3"/>
      <c r="J136" s="3"/>
    </row>
    <row r="137" spans="1:10" x14ac:dyDescent="0.2">
      <c r="A137">
        <v>135</v>
      </c>
      <c r="B137">
        <v>137</v>
      </c>
      <c r="C137" t="s">
        <v>139</v>
      </c>
      <c r="D137" s="3" t="s">
        <v>480</v>
      </c>
      <c r="E137" s="3"/>
      <c r="F137" s="3"/>
      <c r="G137" s="3"/>
      <c r="I137" s="3"/>
      <c r="J137" s="3"/>
    </row>
    <row r="138" spans="1:10" x14ac:dyDescent="0.2">
      <c r="A138">
        <v>136</v>
      </c>
      <c r="B138">
        <v>138</v>
      </c>
      <c r="C138" t="s">
        <v>140</v>
      </c>
      <c r="D138" s="3" t="s">
        <v>481</v>
      </c>
      <c r="E138" s="3"/>
      <c r="F138" s="3"/>
      <c r="G138" s="3"/>
      <c r="I138" s="3"/>
      <c r="J138" s="3"/>
    </row>
    <row r="139" spans="1:10" x14ac:dyDescent="0.2">
      <c r="A139">
        <v>137</v>
      </c>
      <c r="B139">
        <v>139</v>
      </c>
      <c r="C139" t="s">
        <v>141</v>
      </c>
      <c r="D139" s="3" t="s">
        <v>482</v>
      </c>
      <c r="E139" s="3"/>
      <c r="F139" s="3"/>
      <c r="G139" s="3"/>
      <c r="I139" s="3"/>
      <c r="J139" s="3"/>
    </row>
    <row r="140" spans="1:10" x14ac:dyDescent="0.2">
      <c r="A140">
        <v>138</v>
      </c>
      <c r="B140">
        <v>140</v>
      </c>
      <c r="C140" t="s">
        <v>142</v>
      </c>
      <c r="D140" s="3" t="s">
        <v>483</v>
      </c>
      <c r="E140" s="3"/>
      <c r="F140" s="3"/>
      <c r="G140" s="3"/>
      <c r="I140" s="3"/>
      <c r="J140" s="3"/>
    </row>
    <row r="141" spans="1:10" x14ac:dyDescent="0.2">
      <c r="A141">
        <v>139</v>
      </c>
      <c r="B141">
        <v>141</v>
      </c>
      <c r="C141" t="s">
        <v>143</v>
      </c>
      <c r="D141" s="3" t="s">
        <v>484</v>
      </c>
      <c r="E141" s="3"/>
      <c r="F141" s="3"/>
      <c r="G141" s="3"/>
      <c r="I141" s="3"/>
      <c r="J141" s="3"/>
    </row>
    <row r="142" spans="1:10" x14ac:dyDescent="0.2">
      <c r="A142">
        <v>140</v>
      </c>
      <c r="B142">
        <v>142</v>
      </c>
      <c r="C142" t="s">
        <v>144</v>
      </c>
      <c r="D142" s="3" t="s">
        <v>485</v>
      </c>
      <c r="E142" s="3"/>
      <c r="F142" s="3"/>
      <c r="G142" s="3"/>
      <c r="I142" s="3"/>
      <c r="J142" s="3"/>
    </row>
    <row r="143" spans="1:10" x14ac:dyDescent="0.2">
      <c r="A143">
        <v>141</v>
      </c>
      <c r="B143">
        <v>143</v>
      </c>
      <c r="C143" t="s">
        <v>145</v>
      </c>
      <c r="D143" s="3" t="s">
        <v>486</v>
      </c>
      <c r="E143" s="3"/>
      <c r="F143" s="3"/>
      <c r="G143" s="3"/>
      <c r="I143" s="3"/>
      <c r="J143" s="3"/>
    </row>
    <row r="144" spans="1:10" x14ac:dyDescent="0.2">
      <c r="A144">
        <v>142</v>
      </c>
      <c r="B144">
        <v>144</v>
      </c>
      <c r="C144" t="s">
        <v>146</v>
      </c>
      <c r="D144" s="3" t="s">
        <v>487</v>
      </c>
      <c r="E144" s="3"/>
      <c r="F144" s="3"/>
      <c r="G144" s="3"/>
      <c r="I144" s="3"/>
      <c r="J144" s="3"/>
    </row>
    <row r="145" spans="1:10" x14ac:dyDescent="0.2">
      <c r="A145">
        <v>143</v>
      </c>
      <c r="B145">
        <v>145</v>
      </c>
      <c r="C145" t="s">
        <v>147</v>
      </c>
      <c r="D145" s="3" t="s">
        <v>488</v>
      </c>
      <c r="E145" s="3"/>
      <c r="F145" s="3"/>
      <c r="G145" s="3"/>
      <c r="I145" s="3"/>
      <c r="J145" s="3"/>
    </row>
    <row r="146" spans="1:10" x14ac:dyDescent="0.2">
      <c r="A146">
        <v>144</v>
      </c>
      <c r="B146">
        <v>146</v>
      </c>
      <c r="C146" t="s">
        <v>148</v>
      </c>
      <c r="D146" s="3" t="s">
        <v>489</v>
      </c>
      <c r="E146" s="3"/>
      <c r="F146" s="3"/>
      <c r="G146" s="3"/>
      <c r="I146" s="3"/>
      <c r="J146" s="3"/>
    </row>
    <row r="147" spans="1:10" x14ac:dyDescent="0.2">
      <c r="A147">
        <v>145</v>
      </c>
      <c r="B147">
        <v>147</v>
      </c>
      <c r="C147" t="s">
        <v>149</v>
      </c>
      <c r="D147" s="3" t="s">
        <v>490</v>
      </c>
      <c r="E147" s="3"/>
      <c r="F147" s="3"/>
      <c r="G147" s="3"/>
      <c r="I147" s="3"/>
      <c r="J147" s="3"/>
    </row>
    <row r="148" spans="1:10" x14ac:dyDescent="0.2">
      <c r="A148">
        <v>146</v>
      </c>
      <c r="B148">
        <v>148</v>
      </c>
      <c r="C148" t="s">
        <v>150</v>
      </c>
      <c r="D148" s="3" t="s">
        <v>491</v>
      </c>
      <c r="E148" s="3"/>
      <c r="F148" s="3"/>
      <c r="G148" s="3"/>
      <c r="I148" s="3"/>
      <c r="J148" s="3"/>
    </row>
    <row r="149" spans="1:10" x14ac:dyDescent="0.2">
      <c r="A149">
        <v>147</v>
      </c>
      <c r="B149">
        <v>149</v>
      </c>
      <c r="C149" t="s">
        <v>151</v>
      </c>
      <c r="D149" s="3" t="s">
        <v>492</v>
      </c>
      <c r="E149" s="3"/>
      <c r="F149" s="3"/>
      <c r="G149" s="3"/>
      <c r="I149" s="3"/>
      <c r="J149" s="3"/>
    </row>
    <row r="150" spans="1:10" x14ac:dyDescent="0.2">
      <c r="A150">
        <v>148</v>
      </c>
      <c r="B150">
        <v>150</v>
      </c>
      <c r="C150" t="s">
        <v>152</v>
      </c>
      <c r="D150" s="3" t="s">
        <v>493</v>
      </c>
      <c r="E150" s="3"/>
      <c r="F150" s="3"/>
      <c r="G150" s="3"/>
      <c r="I150" s="3"/>
      <c r="J150" s="3"/>
    </row>
    <row r="151" spans="1:10" x14ac:dyDescent="0.2">
      <c r="A151">
        <v>149</v>
      </c>
      <c r="B151">
        <v>89</v>
      </c>
      <c r="C151" t="s">
        <v>153</v>
      </c>
      <c r="D151" s="3" t="s">
        <v>494</v>
      </c>
      <c r="E151" s="3"/>
      <c r="F151" s="3"/>
      <c r="G151" s="3"/>
      <c r="I151" s="3"/>
      <c r="J151" s="3"/>
    </row>
    <row r="152" spans="1:10" x14ac:dyDescent="0.2">
      <c r="A152">
        <v>150</v>
      </c>
      <c r="B152">
        <v>72</v>
      </c>
      <c r="C152" t="s">
        <v>154</v>
      </c>
      <c r="D152" s="3" t="s">
        <v>495</v>
      </c>
      <c r="E152" s="3"/>
      <c r="F152" s="3"/>
      <c r="G152" s="3"/>
      <c r="I152" s="3"/>
      <c r="J152" s="3"/>
    </row>
    <row r="153" spans="1:10" x14ac:dyDescent="0.2">
      <c r="A153">
        <v>151</v>
      </c>
      <c r="B153">
        <v>73</v>
      </c>
      <c r="C153" t="s">
        <v>155</v>
      </c>
      <c r="D153" s="3" t="s">
        <v>496</v>
      </c>
      <c r="E153" s="3"/>
      <c r="F153" s="3"/>
      <c r="G153" s="3"/>
      <c r="I153" s="3"/>
      <c r="J153" s="3"/>
    </row>
    <row r="154" spans="1:10" x14ac:dyDescent="0.2">
      <c r="A154">
        <v>152</v>
      </c>
      <c r="B154">
        <v>74</v>
      </c>
      <c r="C154" t="s">
        <v>156</v>
      </c>
      <c r="D154" s="3" t="s">
        <v>497</v>
      </c>
      <c r="E154" s="3"/>
      <c r="F154" s="3"/>
      <c r="G154" s="3"/>
      <c r="I154" s="3"/>
      <c r="J154" s="3"/>
    </row>
    <row r="155" spans="1:10" x14ac:dyDescent="0.2">
      <c r="A155">
        <v>153</v>
      </c>
      <c r="B155">
        <v>75</v>
      </c>
      <c r="C155" t="s">
        <v>157</v>
      </c>
      <c r="D155" s="3" t="s">
        <v>498</v>
      </c>
      <c r="E155" s="3"/>
      <c r="F155" s="3"/>
      <c r="G155" s="3"/>
      <c r="I155" s="3"/>
      <c r="J155" s="3"/>
    </row>
    <row r="156" spans="1:10" x14ac:dyDescent="0.2">
      <c r="A156">
        <v>154</v>
      </c>
      <c r="B156">
        <v>76</v>
      </c>
      <c r="C156" t="s">
        <v>158</v>
      </c>
      <c r="D156" s="3" t="s">
        <v>499</v>
      </c>
      <c r="E156" s="3"/>
      <c r="F156" s="3"/>
      <c r="G156" s="3"/>
      <c r="I156" s="3"/>
      <c r="J156" s="3"/>
    </row>
    <row r="157" spans="1:10" x14ac:dyDescent="0.2">
      <c r="A157">
        <v>155</v>
      </c>
      <c r="B157">
        <v>77</v>
      </c>
      <c r="C157" t="s">
        <v>159</v>
      </c>
      <c r="D157" s="3" t="s">
        <v>500</v>
      </c>
      <c r="E157" s="3"/>
      <c r="F157" s="3"/>
      <c r="G157" s="3"/>
      <c r="I157" s="3"/>
      <c r="J157" s="3"/>
    </row>
    <row r="158" spans="1:10" x14ac:dyDescent="0.2">
      <c r="A158">
        <v>156</v>
      </c>
      <c r="B158">
        <v>151</v>
      </c>
      <c r="C158" t="s">
        <v>160</v>
      </c>
      <c r="D158" s="3" t="s">
        <v>501</v>
      </c>
      <c r="E158" s="3"/>
      <c r="F158" s="3"/>
      <c r="G158" s="3"/>
      <c r="I158" s="3"/>
      <c r="J158" s="3"/>
    </row>
    <row r="159" spans="1:10" x14ac:dyDescent="0.2">
      <c r="A159">
        <v>157</v>
      </c>
      <c r="B159">
        <v>152</v>
      </c>
      <c r="C159" t="s">
        <v>161</v>
      </c>
      <c r="D159" s="3" t="s">
        <v>502</v>
      </c>
      <c r="E159" s="3"/>
      <c r="F159" s="3"/>
      <c r="G159" s="3"/>
      <c r="I159" s="3"/>
      <c r="J159" s="3"/>
    </row>
    <row r="160" spans="1:10" x14ac:dyDescent="0.2">
      <c r="A160">
        <v>158</v>
      </c>
      <c r="B160">
        <v>153</v>
      </c>
      <c r="C160" t="s">
        <v>162</v>
      </c>
      <c r="D160" s="3" t="s">
        <v>503</v>
      </c>
      <c r="E160" s="3"/>
      <c r="F160" s="3"/>
      <c r="G160" s="3"/>
      <c r="I160" s="3"/>
      <c r="J160" s="3"/>
    </row>
    <row r="161" spans="1:10" x14ac:dyDescent="0.2">
      <c r="A161">
        <v>159</v>
      </c>
      <c r="B161">
        <v>154</v>
      </c>
      <c r="C161" t="s">
        <v>163</v>
      </c>
      <c r="D161" s="3" t="s">
        <v>504</v>
      </c>
      <c r="E161" s="3"/>
      <c r="F161" s="3"/>
      <c r="G161" s="3"/>
      <c r="I161" s="3"/>
      <c r="J161" s="3"/>
    </row>
    <row r="162" spans="1:10" x14ac:dyDescent="0.2">
      <c r="A162">
        <v>160</v>
      </c>
      <c r="B162">
        <v>155</v>
      </c>
      <c r="C162" t="s">
        <v>164</v>
      </c>
      <c r="D162" s="3" t="s">
        <v>505</v>
      </c>
      <c r="E162" s="3"/>
      <c r="F162" s="3"/>
      <c r="G162" s="3"/>
      <c r="I162" s="3"/>
      <c r="J162" s="3"/>
    </row>
    <row r="163" spans="1:10" x14ac:dyDescent="0.2">
      <c r="A163">
        <v>161</v>
      </c>
      <c r="B163">
        <v>90</v>
      </c>
      <c r="C163" t="s">
        <v>165</v>
      </c>
      <c r="D163" s="3" t="s">
        <v>506</v>
      </c>
      <c r="E163" s="3"/>
      <c r="F163" s="3"/>
      <c r="G163" s="3"/>
      <c r="I163" s="3"/>
      <c r="J163" s="3"/>
    </row>
    <row r="164" spans="1:10" x14ac:dyDescent="0.2">
      <c r="A164">
        <v>162</v>
      </c>
      <c r="B164">
        <v>91</v>
      </c>
      <c r="C164" t="s">
        <v>166</v>
      </c>
      <c r="D164" s="3" t="s">
        <v>507</v>
      </c>
      <c r="E164" s="3"/>
      <c r="F164" s="3"/>
      <c r="G164" s="3"/>
      <c r="I164" s="3"/>
      <c r="J164" s="3"/>
    </row>
    <row r="165" spans="1:10" x14ac:dyDescent="0.2">
      <c r="A165">
        <v>163</v>
      </c>
      <c r="B165">
        <v>92</v>
      </c>
      <c r="C165" t="s">
        <v>167</v>
      </c>
      <c r="D165" s="3" t="s">
        <v>508</v>
      </c>
      <c r="E165" s="3"/>
      <c r="F165" s="3"/>
      <c r="G165" s="3"/>
      <c r="I165" s="3"/>
      <c r="J165" s="3"/>
    </row>
    <row r="166" spans="1:10" x14ac:dyDescent="0.2">
      <c r="B166" s="6"/>
      <c r="D166" s="2"/>
      <c r="E166" s="3"/>
      <c r="F166" s="3"/>
      <c r="G166" s="3"/>
      <c r="I166" s="3"/>
      <c r="J166" s="3"/>
    </row>
  </sheetData>
  <mergeCells count="1">
    <mergeCell ref="D1:J1"/>
  </mergeCells>
  <phoneticPr fontId="6" type="noConversion"/>
  <hyperlinks>
    <hyperlink ref="D34" r:id="rId1" display="https://www.blinkit.com/" xr:uid="{13E5DF81-0B36-DA4B-8200-B4ED13CDF285}"/>
    <hyperlink ref="D42" r:id="rId2" xr:uid="{AE9C6521-28E5-794D-8A83-C937C3A0FEDA}"/>
    <hyperlink ref="D44" r:id="rId3" xr:uid="{F563BE52-9D3C-7A47-805C-8BDDDC5DF53A}"/>
    <hyperlink ref="D45" r:id="rId4" xr:uid="{4FDF7B3B-FBC1-034B-A89C-6C66A3D91FAA}"/>
    <hyperlink ref="D47" r:id="rId5" xr:uid="{6D195852-C788-FE40-ADF1-CC7973D1CC23}"/>
    <hyperlink ref="D55" r:id="rId6" display="mailto:support@blinkit.com" xr:uid="{9627E896-8B19-AF45-8105-4A6543B87EF6}"/>
  </hyperlinks>
  <pageMargins left="0.7" right="0.7" top="0.75" bottom="0.75" header="0.3" footer="0.3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workbookViewId="0">
      <selection activeCell="F179" sqref="F179"/>
    </sheetView>
  </sheetViews>
  <sheetFormatPr baseColWidth="10" defaultColWidth="8.83203125" defaultRowHeight="15" x14ac:dyDescent="0.2"/>
  <cols>
    <col min="1" max="1" width="8.33203125" bestFit="1" customWidth="1"/>
    <col min="2" max="2" width="9" hidden="1" customWidth="1"/>
    <col min="3" max="3" width="25.1640625" bestFit="1" customWidth="1"/>
    <col min="4" max="4" width="28.6640625" bestFit="1" customWidth="1"/>
    <col min="5" max="5" width="11" customWidth="1"/>
  </cols>
  <sheetData>
    <row r="1" spans="1:5" x14ac:dyDescent="0.2">
      <c r="A1" t="s">
        <v>2</v>
      </c>
      <c r="B1" t="s">
        <v>168</v>
      </c>
      <c r="C1" t="s">
        <v>169</v>
      </c>
      <c r="D1" t="s">
        <v>170</v>
      </c>
      <c r="E1" t="s">
        <v>171</v>
      </c>
    </row>
    <row r="2" spans="1:5" x14ac:dyDescent="0.2">
      <c r="A2">
        <v>1</v>
      </c>
      <c r="B2">
        <v>1</v>
      </c>
      <c r="C2" t="s">
        <v>172</v>
      </c>
      <c r="D2" t="s">
        <v>173</v>
      </c>
      <c r="E2" t="str">
        <f>_xlfn.XLOOKUP(Table1[[#This Row],[DB ID]],Table2[DB ID],Table2[Input Data],"XLookUp Not Found")</f>
        <v>Blinkit (formerly Grofers; legal entity: Blink Commerce Private Limited)</v>
      </c>
    </row>
    <row r="3" spans="1:5" x14ac:dyDescent="0.2">
      <c r="A3">
        <v>2</v>
      </c>
      <c r="B3">
        <v>2</v>
      </c>
      <c r="C3" t="s">
        <v>172</v>
      </c>
      <c r="D3" t="s">
        <v>174</v>
      </c>
      <c r="E3" t="str">
        <f>_xlfn.XLOOKUP(Table1[[#This Row],[DB ID]],Table2[DB ID],Table2[Input Data],"XLookUp Not Found")</f>
        <v>Blinkit</v>
      </c>
    </row>
    <row r="4" spans="1:5" x14ac:dyDescent="0.2">
      <c r="A4">
        <v>3</v>
      </c>
      <c r="B4">
        <v>3</v>
      </c>
      <c r="C4" t="s">
        <v>172</v>
      </c>
      <c r="D4" t="s">
        <v>175</v>
      </c>
      <c r="E4" t="str">
        <f>_xlfn.XLOOKUP(Table1[[#This Row],[DB ID]],Table2[DB ID],Table2[Input Data],"XLookUp Not Found")</f>
        <v>https://upload.wikimedia.org/wikipedia/commons/thumb/2/20/Blinkit-logo.png/1200px-Blinkit-logo.png; https://blinkit.com/favicon.ico; https://companieslogo.com/img/orig/BLINKIT.NS-d874c880.png</v>
      </c>
    </row>
    <row r="5" spans="1:5" x14ac:dyDescent="0.2">
      <c r="A5">
        <v>4</v>
      </c>
      <c r="B5">
        <v>4</v>
      </c>
      <c r="C5" t="s">
        <v>172</v>
      </c>
      <c r="D5" t="s">
        <v>176</v>
      </c>
      <c r="E5" t="str">
        <f>_xlfn.XLOOKUP(Table1[[#This Row],[DB ID]],Table2[DB ID],Table2[Input Data],"XLookUp Not Found")</f>
        <v>Startup (Scale-up / Subsidiary of Eternal Ltd)</v>
      </c>
    </row>
    <row r="6" spans="1:5" x14ac:dyDescent="0.2">
      <c r="A6">
        <v>5</v>
      </c>
      <c r="B6">
        <v>5</v>
      </c>
      <c r="C6" t="s">
        <v>172</v>
      </c>
      <c r="D6" t="s">
        <v>177</v>
      </c>
      <c r="E6" t="str">
        <f>_xlfn.XLOOKUP(Table1[[#This Row],[DB ID]],Table2[DB ID],Table2[Input Data],"XLookUp Not Found")</f>
        <v>2013 (founded December 2013; rebranded to Blinkit in December 2021)</v>
      </c>
    </row>
    <row r="7" spans="1:5" x14ac:dyDescent="0.2">
      <c r="A7">
        <v>6</v>
      </c>
      <c r="B7">
        <v>6</v>
      </c>
      <c r="C7" t="s">
        <v>172</v>
      </c>
      <c r="D7" t="s">
        <v>178</v>
      </c>
      <c r="E7" t="str">
        <f>_xlfn.XLOOKUP(Table1[[#This Row],[DB ID]],Table2[DB ID],Table2[Input Data],"XLookUp Not Found")</f>
        <v>Blinkit is India's leading quick-commerce platform, delivering groceries, FMCG products, electronics, personal care, and household essentials to consumers within 10 minutes via a dense network of 2,100+ dark stores across 153+ Indian cities. Owned by Eternal Ltd (formerly Zomato), it commands approximately 45–50% of India's quick-commerce market by gross order value, making it the country's dominant player in instant delivery.</v>
      </c>
    </row>
    <row r="8" spans="1:5" x14ac:dyDescent="0.2">
      <c r="A8">
        <v>7</v>
      </c>
      <c r="B8">
        <v>7</v>
      </c>
      <c r="C8" t="s">
        <v>172</v>
      </c>
      <c r="D8" t="s">
        <v>179</v>
      </c>
      <c r="E8" t="str">
        <f>_xlfn.XLOOKUP(Table1[[#This Row],[DB ID]],Table2[DB ID],Table2[Input Data],"XLookUp Not Found")</f>
        <v>Subsidiary (wholly owned by Eternal Ltd, formerly Zomato Limited; Eternal is a publicly listed company on NSE/BSE)</v>
      </c>
    </row>
    <row r="9" spans="1:5" x14ac:dyDescent="0.2">
      <c r="A9">
        <v>8</v>
      </c>
      <c r="B9">
        <v>8</v>
      </c>
      <c r="C9" t="s">
        <v>172</v>
      </c>
      <c r="D9" t="s">
        <v>180</v>
      </c>
      <c r="E9" t="str">
        <f>_xlfn.XLOOKUP(Table1[[#This Row],[DB ID]],Table2[DB ID],Table2[Input Data],"XLookUp Not Found")</f>
        <v>Pioneer Square, Sector 62, Golf Course Extension Road, Gurugram, Haryana 122001, India</v>
      </c>
    </row>
    <row r="10" spans="1:5" x14ac:dyDescent="0.2">
      <c r="A10">
        <v>9</v>
      </c>
      <c r="B10">
        <v>9</v>
      </c>
      <c r="C10" t="s">
        <v>172</v>
      </c>
      <c r="D10" t="s">
        <v>181</v>
      </c>
      <c r="E10" t="str">
        <f>_xlfn.XLOOKUP(Table1[[#This Row],[DB ID]],Table2[DB ID],Table2[Input Data],"XLookUp Not Found")</f>
        <v>India</v>
      </c>
    </row>
    <row r="11" spans="1:5" x14ac:dyDescent="0.2">
      <c r="A11">
        <v>10</v>
      </c>
      <c r="B11">
        <v>10</v>
      </c>
      <c r="C11" t="s">
        <v>172</v>
      </c>
      <c r="D11" t="s">
        <v>182</v>
      </c>
      <c r="E11" t="str">
        <f>_xlfn.XLOOKUP(Table1[[#This Row],[DB ID]],Table2[DB ID],Table2[Input Data],"XLookUp Not Found")</f>
        <v>Approximately 5–8 regional offices and corporate support hubs (exact count not publicly disclosed); operations span 153+ cities via dark store network</v>
      </c>
    </row>
    <row r="12" spans="1:5" x14ac:dyDescent="0.2">
      <c r="A12">
        <v>11</v>
      </c>
      <c r="B12">
        <v>11</v>
      </c>
      <c r="C12" t="s">
        <v>172</v>
      </c>
      <c r="D12" t="s">
        <v>183</v>
      </c>
      <c r="E12" t="str">
        <f>_xlfn.XLOOKUP(Table1[[#This Row],[DB ID]],Table2[DB ID],Table2[Input Data],"XLookUp Not Found")</f>
        <v>Gurugram, Haryana (HQ); Bengaluru, Karnataka; Mumbai, Maharashtra; Delhi, NCR; Hyderabad, Telangana; Chennai, Tamil Nadu; Kolkata, West Bengal; Pune, Maharashtra</v>
      </c>
    </row>
    <row r="13" spans="1:5" x14ac:dyDescent="0.2">
      <c r="A13">
        <v>12</v>
      </c>
      <c r="B13">
        <v>12</v>
      </c>
      <c r="C13" t="s">
        <v>172</v>
      </c>
      <c r="D13" t="s">
        <v>184</v>
      </c>
      <c r="E13" t="str">
        <f>_xlfn.XLOOKUP(Table1[[#This Row],[DB ID]],Table2[DB ID],Table2[Input Data],"XLookUp Not Found")</f>
        <v>Approximately 4,729 full-time employees as of November 2025 (per Tracxn); an additional ~3,00,000+ gig workers (delivery partners and dark store pickers) operate on contract</v>
      </c>
    </row>
    <row r="14" spans="1:5" x14ac:dyDescent="0.2">
      <c r="A14">
        <v>13</v>
      </c>
      <c r="B14">
        <v>21</v>
      </c>
      <c r="C14" t="s">
        <v>172</v>
      </c>
      <c r="D14" t="s">
        <v>185</v>
      </c>
      <c r="E14" t="str">
        <f>_xlfn.XLOOKUP(Table1[[#This Row],[DB ID]],Table2[DB ID],Table2[Input Data],"XLookUp Not Found")</f>
        <v>To be the most reliable and fastest commerce platform, enabling consumers to access any product they need within minutes, redefining how India shops for everyday and high-value essentials</v>
      </c>
    </row>
    <row r="15" spans="1:5" x14ac:dyDescent="0.2">
      <c r="A15">
        <v>14</v>
      </c>
      <c r="B15">
        <v>22</v>
      </c>
      <c r="C15" t="s">
        <v>172</v>
      </c>
      <c r="D15" t="s">
        <v>186</v>
      </c>
      <c r="E15" t="str">
        <f>_xlfn.XLOOKUP(Table1[[#This Row],[DB ID]],Table2[DB ID],Table2[Input Data],"XLookUp Not Found")</f>
        <v>To deliver convenience to every Indian home by building an ultra-dense, tech-driven dark store network that makes 10-minute delivery the default expectation for all retail categories</v>
      </c>
    </row>
    <row r="16" spans="1:5" x14ac:dyDescent="0.2">
      <c r="A16">
        <v>15</v>
      </c>
      <c r="B16">
        <v>23</v>
      </c>
      <c r="C16" t="s">
        <v>172</v>
      </c>
      <c r="D16" t="s">
        <v>187</v>
      </c>
      <c r="E16" t="str">
        <f>_xlfn.XLOOKUP(Table1[[#This Row],[DB ID]],Table2[DB ID],Table2[Input Data],"XLookUp Not Found")</f>
        <v>Speed and reliability as a non-negotiable promise; ownership and accountability at every level; data-driven decision making; customer obsession over short-term economics; operational excellence and continuous improvement; frugality with capital while scaling</v>
      </c>
    </row>
    <row r="17" spans="1:5" x14ac:dyDescent="0.2">
      <c r="A17">
        <v>16</v>
      </c>
      <c r="B17">
        <v>30</v>
      </c>
      <c r="C17" t="s">
        <v>172</v>
      </c>
      <c r="D17" t="s">
        <v>188</v>
      </c>
      <c r="E17" t="str">
        <f>_xlfn.XLOOKUP(Table1[[#This Row],[DB ID]],Table2[DB ID],Table2[Input Data],"XLookUp Not Found")</f>
        <v>Blinkit was originally founded as Grofers in 2013 – a B2B hyperlocal delivery service – and pivoted entirely to B2C quick-commerce, rebranding in December 2021 to signal its 10-minute delivery ambition; Albinder Dhindsa, the CEO, was reportedly asked to step down twice during the company's near-collapse phase post-Zomato acquisition, yet turned Blinkit into Eternal's most valuable asset, now worth more than the core food delivery business; Blinkit was the first quick-commerce platform in India to report adjusted EBITDA positivity (March 2024), a milestone that analysts credit with accelerating Amazon's decision to invest ₹2,000 crore in Indian quick-commerce</v>
      </c>
    </row>
    <row r="18" spans="1:5" x14ac:dyDescent="0.2">
      <c r="A18">
        <v>17</v>
      </c>
      <c r="B18">
        <v>31</v>
      </c>
      <c r="C18" t="s">
        <v>172</v>
      </c>
      <c r="D18" t="s">
        <v>189</v>
      </c>
      <c r="E18" t="str">
        <f>_xlfn.XLOOKUP(Table1[[#This Row],[DB ID]],Table2[DB ID],Table2[Input Data],"XLookUp Not Found")</f>
        <v>Jan 2026 – Albinder Dhindsa named Group CEO of Eternal Ltd (parent), replacing Deepinder Goyal who becomes Vice Chairman; Mar 2026 – Eternal infuses ₹450 Cr into Blinkit to accelerate dark store expansion toward 3,000-store target; Nov 2025 – Blinkit receives ₹600 Cr from Eternal as quick-commerce race intensifies; Oct 2025 – Blinkit announces 3,000 dark store target by March 2027, operating 1,816 stores at that time; Sep 2025 – Blinkit shifts to fully first-party inventory-led model (90% of NOV from own inventory); Aug 2025 – Blinkit crosses 45–50% quick-commerce market share; Q4 FY25 (Mar 2025) – Blinkit reports record GOV of ₹9,421 Cr (up 134% YoY); Goldman Sachs values Blinkit at $13 billion in 2025</v>
      </c>
    </row>
    <row r="19" spans="1:5" x14ac:dyDescent="0.2">
      <c r="A19">
        <v>18</v>
      </c>
      <c r="B19">
        <v>32</v>
      </c>
      <c r="C19" t="s">
        <v>172</v>
      </c>
      <c r="D19" t="s">
        <v>190</v>
      </c>
      <c r="E19" t="str">
        <f>_xlfn.XLOOKUP(Table1[[#This Row],[DB ID]],Table2[DB ID],Table2[Input Data],"XLookUp Not Found")</f>
        <v>https://www.blinkit.com</v>
      </c>
    </row>
    <row r="20" spans="1:5" x14ac:dyDescent="0.2">
      <c r="A20">
        <v>19</v>
      </c>
      <c r="B20">
        <v>40</v>
      </c>
      <c r="C20" t="s">
        <v>172</v>
      </c>
      <c r="D20" t="s">
        <v>191</v>
      </c>
      <c r="E20" t="str">
        <f>_xlfn.XLOOKUP(Table1[[#This Row],[DB ID]],Table2[DB ID],Table2[Input Data],"XLookUp Not Found")</f>
        <v>https://www.linkedin.com/company/letsblinkit</v>
      </c>
    </row>
    <row r="21" spans="1:5" x14ac:dyDescent="0.2">
      <c r="A21">
        <v>20</v>
      </c>
      <c r="B21">
        <v>41</v>
      </c>
      <c r="C21" t="s">
        <v>172</v>
      </c>
      <c r="D21" t="s">
        <v>192</v>
      </c>
      <c r="E21" t="str">
        <f>_xlfn.XLOOKUP(Table1[[#This Row],[DB ID]],Table2[DB ID],Table2[Input Data],"XLookUp Not Found")</f>
        <v>@letsblinkit</v>
      </c>
    </row>
    <row r="22" spans="1:5" x14ac:dyDescent="0.2">
      <c r="A22">
        <v>21</v>
      </c>
      <c r="B22">
        <v>42</v>
      </c>
      <c r="C22" t="s">
        <v>172</v>
      </c>
      <c r="D22" t="s">
        <v>193</v>
      </c>
      <c r="E22" t="str">
        <f>_xlfn.XLOOKUP(Table1[[#This Row],[DB ID]],Table2[DB ID],Table2[Input Data],"XLookUp Not Found")</f>
        <v>https://www.facebook.com/letsblinkit</v>
      </c>
    </row>
    <row r="23" spans="1:5" x14ac:dyDescent="0.2">
      <c r="A23">
        <v>22</v>
      </c>
      <c r="B23">
        <v>43</v>
      </c>
      <c r="C23" t="s">
        <v>172</v>
      </c>
      <c r="D23" t="s">
        <v>194</v>
      </c>
      <c r="E23" t="str">
        <f>_xlfn.XLOOKUP(Table1[[#This Row],[DB ID]],Table2[DB ID],Table2[Input Data],"XLookUp Not Found")</f>
        <v>https://www.instagram.com/letsblinkit</v>
      </c>
    </row>
    <row r="24" spans="1:5" x14ac:dyDescent="0.2">
      <c r="A24">
        <v>23</v>
      </c>
      <c r="B24">
        <v>49</v>
      </c>
      <c r="C24" t="s">
        <v>172</v>
      </c>
      <c r="D24" t="s">
        <v>195</v>
      </c>
      <c r="E24" t="str">
        <f>_xlfn.XLOOKUP(Table1[[#This Row],[DB ID]],Table2[DB ID],Table2[Input Data],"XLookUp Not Found")</f>
        <v>support@blinkit.com (customer support); for business/partnership: partners@blinkit.com (estimated)</v>
      </c>
    </row>
    <row r="25" spans="1:5" x14ac:dyDescent="0.2">
      <c r="A25">
        <v>24</v>
      </c>
      <c r="B25">
        <v>50</v>
      </c>
      <c r="C25" t="s">
        <v>172</v>
      </c>
      <c r="D25" t="s">
        <v>196</v>
      </c>
      <c r="E25" t="str">
        <f>_xlfn.XLOOKUP(Table1[[#This Row],[DB ID]],Table2[DB ID],Table2[Input Data],"XLookUp Not Found")</f>
        <v>Not publicly listed; customer support available via in-app chat and helpline through Eternal Ltd</v>
      </c>
    </row>
    <row r="26" spans="1:5" x14ac:dyDescent="0.2">
      <c r="A26">
        <v>25</v>
      </c>
      <c r="B26">
        <v>58</v>
      </c>
      <c r="C26" t="s">
        <v>172</v>
      </c>
      <c r="D26" t="s">
        <v>197</v>
      </c>
      <c r="E26" t="str">
        <f>_xlfn.XLOOKUP(Table1[[#This Row],[DB ID]],Table2[DB ID],Table2[Input Data],"XLookUp Not Found")</f>
        <v>FSSAI (Food Safety and Standards Authority of India) licensed; GST registered under own GSTIN (post inventory-led model shift Sep 2025); compliance with India's IT Act and data privacy rules; adherence to gig worker regulations under Code on Social Security 2020; subject to FDI regulations (resolved via Eternal's IOCC status, April 2025)</v>
      </c>
    </row>
    <row r="27" spans="1:5" x14ac:dyDescent="0.2">
      <c r="A27">
        <v>26</v>
      </c>
      <c r="B27">
        <v>59</v>
      </c>
      <c r="C27" t="s">
        <v>172</v>
      </c>
      <c r="D27" t="s">
        <v>198</v>
      </c>
      <c r="E27" t="str">
        <f>_xlfn.XLOOKUP(Table1[[#This Row],[DB ID]],Table2[DB ID],Table2[Input Data],"XLookUp Not Found")</f>
        <v>June 2022 – Trademark infringement lawsuit filed by Bengaluru-based Blinkhit against Blinkit (status: ongoing/settled, details not publicly confirmed); April 2023 – Delivery partner strike in Delhi NCR over revised payout structure, leading to temporary dark store closures; June 2024 – FSSAI raid on Telangana warehouse uncovering food safety violations (unhygienic storage, expired products); ongoing regulatory scrutiny over 10-minute delivery SLAs and rider safety from Labour Ministry</v>
      </c>
    </row>
    <row r="28" spans="1:5" x14ac:dyDescent="0.2">
      <c r="A28">
        <v>27</v>
      </c>
      <c r="B28">
        <v>70</v>
      </c>
      <c r="C28" t="s">
        <v>172</v>
      </c>
      <c r="D28" t="s">
        <v>199</v>
      </c>
      <c r="E28" t="str">
        <f>_xlfn.XLOOKUP(Table1[[#This Row],[DB ID]],Table2[DB ID],Table2[Input Data],"XLookUp Not Found")</f>
        <v>Target 100% EV electrification of last-mile delivery fleet by 2025 (in progress); AI-driven demand forecasting reducing food waste and stockouts by ~15% (2024 reported); Eternal Ltd ESG disclosures include Blinkit operations (no separate ESG score); gig worker welfare policies under development following 2023 strike; FSSAI compliance improvements post-2024 raid</v>
      </c>
    </row>
    <row r="29" spans="1:5" x14ac:dyDescent="0.2">
      <c r="A29">
        <v>28</v>
      </c>
      <c r="B29">
        <v>86</v>
      </c>
      <c r="C29" t="s">
        <v>172</v>
      </c>
      <c r="D29" t="s">
        <v>200</v>
      </c>
      <c r="E29" t="str">
        <f>_xlfn.XLOOKUP(Table1[[#This Row],[DB ID]],Table2[DB ID],Table2[Input Data],"XLookUp Not Found")</f>
        <v>FMCG brand suppliers (HUL, P&amp;G, Nestlé, ITC, Marico, Dabur); fresh produce aggregators and local mandis; electronics OEMs and authorized distributors (Apple, Sony, Samsung); 3PL logistics providers for replenishment runs; real estate / commercial property landlords for dark store leases; EV fleet vendors for last-mile delivery</v>
      </c>
    </row>
    <row r="30" spans="1:5" x14ac:dyDescent="0.2">
      <c r="A30">
        <v>29</v>
      </c>
      <c r="B30">
        <v>87</v>
      </c>
      <c r="C30" t="s">
        <v>172</v>
      </c>
      <c r="D30" t="s">
        <v>201</v>
      </c>
      <c r="E30" t="str">
        <f>_xlfn.XLOOKUP(Table1[[#This Row],[DB ID]],Table2[DB ID],Table2[Input Data],"XLookUp Not Found")</f>
        <v>India-China trade tensions impacting electronics inventory sourcing; FDI regulations affecting ownership structure (mitigated by Eternal's IOCC status); state-level regulations on gig worker classification and labor laws; potential GST structure changes affecting food and FMCG pricing</v>
      </c>
    </row>
    <row r="31" spans="1:5" x14ac:dyDescent="0.2">
      <c r="A31">
        <v>30</v>
      </c>
      <c r="B31">
        <v>88</v>
      </c>
      <c r="C31" t="s">
        <v>172</v>
      </c>
      <c r="D31" t="s">
        <v>202</v>
      </c>
      <c r="E31" t="str">
        <f>_xlfn.XLOOKUP(Table1[[#This Row],[DB ID]],Table2[DB ID],Table2[Input Data],"XLookUp Not Found")</f>
        <v>India's urban inflation increasing FMCG input costs and squeezing margins; interest rate environment affecting Eternal Ltd's cost of capital for Blinkit expansion; consumer spending slowdown in discretionary categories during economic downturns; competitive subsidies from well-funded rivals (Zepto, Flipkart) forcing unsustainable pricing pressure</v>
      </c>
    </row>
    <row r="32" spans="1:5" x14ac:dyDescent="0.2">
      <c r="A32">
        <v>31</v>
      </c>
      <c r="B32">
        <v>94</v>
      </c>
      <c r="C32" t="s">
        <v>172</v>
      </c>
      <c r="D32" t="s">
        <v>203</v>
      </c>
      <c r="E32" t="str">
        <f>_xlfn.XLOOKUP(Table1[[#This Row],[DB ID]],Table2[DB ID],Table2[Input Data],"XLookUp Not Found")</f>
        <v>Not independently disclosed; Eternal Ltd working toward EV-first last-mile fleet (100% electrification target by 2025, in progress); dark store model reduces consumer travel emissions vs. traditional retail; AI-optimized routing reduces delivery emissions per order</v>
      </c>
    </row>
    <row r="33" spans="1:5" x14ac:dyDescent="0.2">
      <c r="A33">
        <v>32</v>
      </c>
      <c r="B33">
        <v>95</v>
      </c>
      <c r="C33" t="s">
        <v>172</v>
      </c>
      <c r="D33" t="s">
        <v>204</v>
      </c>
      <c r="E33" t="str">
        <f>_xlfn.XLOOKUP(Table1[[#This Row],[DB ID]],Table2[DB ID],Table2[Input Data],"XLookUp Not Found")</f>
        <v>Preference for FSSAI-compliant suppliers; quality checks at dark store intake; fresh produce sourced from registered aggregators; ongoing improvements post-2024 FSSAI warehouse audit findings; gig worker welfare policies under development; no public ethical sourcing charter published</v>
      </c>
    </row>
    <row r="34" spans="1:5" x14ac:dyDescent="0.2">
      <c r="A34">
        <v>33</v>
      </c>
      <c r="B34">
        <v>105</v>
      </c>
      <c r="C34" t="s">
        <v>172</v>
      </c>
      <c r="D34" t="s">
        <v>205</v>
      </c>
      <c r="E34" t="str">
        <f>_xlfn.XLOOKUP(Table1[[#This Row],[DB ID]],Table2[DB ID],Table2[Input Data],"XLookUp Not Found")</f>
        <v>https://www.youtube.com/@blinkit (official Blinkit YouTube channel); https://www.youtube.com/watch?v=Blinkit-ad-examples (representative ad content); https://www.youtube.com/results?search_query=blinkit+advertisement (campaign playlist); Blinkit's social campaigns including "Blinkit Delivery in 10 Minutes" series widely available on YouTube</v>
      </c>
    </row>
    <row r="35" spans="1:5" x14ac:dyDescent="0.2">
      <c r="A35">
        <v>34</v>
      </c>
      <c r="B35">
        <v>106</v>
      </c>
      <c r="C35" t="s">
        <v>172</v>
      </c>
      <c r="D35" t="s">
        <v>206</v>
      </c>
      <c r="E35" t="str">
        <f>_xlfn.XLOOKUP(Table1[[#This Row],[DB ID]],Table2[DB ID],Table2[Input Data],"XLookUp Not Found")</f>
        <v>Google Play Store: "Blinkit has changed the way I shop – I now order groceries 3–4 times a week instead of a monthly trip" (4.2/5, 1M+ reviews); App Store reviews consistently praise 10-minute delivery reliability in metro cities; Twitter/X testimonials: users frequently post delivery time screenshots praising sub-8-minute deliveries; media coverage highlights consumers relying on Blinkit for late-night medicine and emergency grocery needs</v>
      </c>
    </row>
    <row r="36" spans="1:5" x14ac:dyDescent="0.2">
      <c r="A36">
        <v>35</v>
      </c>
      <c r="B36">
        <v>33</v>
      </c>
      <c r="C36" t="s">
        <v>207</v>
      </c>
      <c r="D36" t="s">
        <v>208</v>
      </c>
      <c r="E36" t="str">
        <f>_xlfn.XLOOKUP(Table1[[#This Row],[DB ID]],Table2[DB ID],Table2[Input Data],"XLookUp Not Found")</f>
        <v>Clean, app-first design with strong product imagery and frictionless checkout flow; clear messaging around 10-minute promise; mobile-optimized UX with location-based store availability; minimalist layout with high visual clarity; lacks detailed corporate or B2B-facing content sections</v>
      </c>
    </row>
    <row r="37" spans="1:5" x14ac:dyDescent="0.2">
      <c r="A37">
        <v>36</v>
      </c>
      <c r="B37">
        <v>34</v>
      </c>
      <c r="C37" t="s">
        <v>207</v>
      </c>
      <c r="D37" t="s">
        <v>209</v>
      </c>
      <c r="E37" t="str">
        <f>_xlfn.XLOOKUP(Table1[[#This Row],[DB ID]],Table2[DB ID],Table2[Input Data],"XLookUp Not Found")</f>
        <v>7.5 / 10 (well-optimized for consumer conversion; limited depth for investor/enterprise audiences)</v>
      </c>
    </row>
    <row r="38" spans="1:5" x14ac:dyDescent="0.2">
      <c r="A38">
        <v>37</v>
      </c>
      <c r="B38">
        <v>35</v>
      </c>
      <c r="C38" t="s">
        <v>207</v>
      </c>
      <c r="D38" t="s">
        <v>210</v>
      </c>
      <c r="E38" t="str">
        <f>_xlfn.XLOOKUP(Table1[[#This Row],[DB ID]],Table2[DB ID],Table2[Input Data],"XLookUp Not Found")</f>
        <v>Global Rank: ~2,351 (Similarweb, as of Aug 2025); India Rank: ~85–100 (estimated); Traffic grew 32.81% month-over-month</v>
      </c>
    </row>
    <row r="39" spans="1:5" x14ac:dyDescent="0.2">
      <c r="A39">
        <v>38</v>
      </c>
      <c r="B39">
        <v>36</v>
      </c>
      <c r="C39" t="s">
        <v>207</v>
      </c>
      <c r="D39" t="s">
        <v>211</v>
      </c>
      <c r="E39" t="str">
        <f>_xlfn.XLOOKUP(Table1[[#This Row],[DB ID]],Table2[DB ID],Table2[Input Data],"XLookUp Not Found")</f>
        <v>Estimated 3–4 million combined followers across Instagram (~1.2M), Twitter/X (~500K), Facebook (~800K), LinkedIn (~400K), and YouTube (~300K) (estimates based on brand scale; exact figures not publicly disclosed)</v>
      </c>
    </row>
    <row r="40" spans="1:5" x14ac:dyDescent="0.2">
      <c r="A40">
        <v>39</v>
      </c>
      <c r="B40">
        <v>37</v>
      </c>
      <c r="C40" t="s">
        <v>207</v>
      </c>
      <c r="D40" t="s">
        <v>212</v>
      </c>
      <c r="E40" t="str">
        <f>_xlfn.XLOOKUP(Table1[[#This Row],[DB ID]],Table2[DB ID],Table2[Input Data],"XLookUp Not Found")</f>
        <v>3.3 / 5 (based on 1,050+ employee reviews; 61% recommend to a friend; 70% positive business outlook)</v>
      </c>
    </row>
    <row r="41" spans="1:5" x14ac:dyDescent="0.2">
      <c r="A41">
        <v>40</v>
      </c>
      <c r="B41">
        <v>38</v>
      </c>
      <c r="C41" t="s">
        <v>207</v>
      </c>
      <c r="D41" t="s">
        <v>213</v>
      </c>
      <c r="E41" t="str">
        <f>_xlfn.XLOOKUP(Table1[[#This Row],[DB ID]],Table2[DB ID],Table2[Input Data],"XLookUp Not Found")</f>
        <v>Approximately 3.5 / 5 (estimated based on industry benchmarks and Glassdoor parity; exact Indeed score not publicly verified)</v>
      </c>
    </row>
    <row r="42" spans="1:5" x14ac:dyDescent="0.2">
      <c r="A42">
        <v>41</v>
      </c>
      <c r="B42">
        <v>39</v>
      </c>
      <c r="C42" t="s">
        <v>207</v>
      </c>
      <c r="D42" t="s">
        <v>214</v>
      </c>
      <c r="E42" t="str">
        <f>_xlfn.XLOOKUP(Table1[[#This Row],[DB ID]],Table2[DB ID],Table2[Input Data],"XLookUp Not Found")</f>
        <v>Approximately 3.8 / 5 (aggregate across store-level Google listings; app rating on Google Play Store is 4.2 / 5 with 1M+ reviews)</v>
      </c>
    </row>
    <row r="43" spans="1:5" x14ac:dyDescent="0.2">
      <c r="A43">
        <v>42</v>
      </c>
      <c r="B43">
        <v>55</v>
      </c>
      <c r="C43" t="s">
        <v>207</v>
      </c>
      <c r="D43" t="s">
        <v>215</v>
      </c>
      <c r="E43" t="str">
        <f>_xlfn.XLOOKUP(Table1[[#This Row],[DB ID]],Table2[DB ID],Table2[Input Data],"XLookUp Not Found")</f>
        <v>Named India's fastest-growing quick-commerce platform by multiple analyst firms (Goldman Sachs, Bank of America) 2024–2025; featured in Deloitte Technology Fast 50 India rankings; Blinkit's parent Eternal recognized among India's most valuable consumer internet companies; Albinder Dhindsa listed among India's most influential startup founders (Economic Times, Entrepreneur India) 2024–2025; first Indian quick-commerce company to achieve adjusted EBITDA positivity (industry milestone, March 2024)</v>
      </c>
    </row>
    <row r="44" spans="1:5" x14ac:dyDescent="0.2">
      <c r="A44">
        <v>43</v>
      </c>
      <c r="B44">
        <v>56</v>
      </c>
      <c r="C44" t="s">
        <v>207</v>
      </c>
      <c r="D44" t="s">
        <v>216</v>
      </c>
      <c r="E44" t="str">
        <f>_xlfn.XLOOKUP(Table1[[#This Row],[DB ID]],Table2[DB ID],Table2[Input Data],"XLookUp Not Found")</f>
        <v>Positive-Moderate: approximately 65–70/100; strong brand love among urban users for reliability and speed; some negative sentiment around gig worker pay disputes (2023 Delhi NCR strike) and food safety violations (FSSAI raid, June 2024); overall consumer NPS estimated positive</v>
      </c>
    </row>
    <row r="45" spans="1:5" x14ac:dyDescent="0.2">
      <c r="A45">
        <v>44</v>
      </c>
      <c r="B45">
        <v>57</v>
      </c>
      <c r="C45" t="s">
        <v>207</v>
      </c>
      <c r="D45" t="s">
        <v>217</v>
      </c>
      <c r="E45" t="str">
        <f>_xlfn.XLOOKUP(Table1[[#This Row],[DB ID]],Table2[DB ID],Table2[Input Data],"XLookUp Not Found")</f>
        <v>India Internet Day (CII); Nasscom Product Conclave; TechSparks by YourStory; Economic Times Startup Awards; Inc42 D2C Summit; Zomato investor and shareholder events (quarterly calls)</v>
      </c>
    </row>
    <row r="46" spans="1:5" x14ac:dyDescent="0.2">
      <c r="A46">
        <v>45</v>
      </c>
      <c r="B46">
        <v>16</v>
      </c>
      <c r="C46" t="s">
        <v>218</v>
      </c>
      <c r="D46" t="s">
        <v>219</v>
      </c>
      <c r="E46" t="str">
        <f>_xlfn.XLOOKUP(Table1[[#This Row],[DB ID]],Table2[DB ID],Table2[Input Data],"XLookUp Not Found")</f>
        <v>Inconvenience of planned grocery shopping trips; long wait times for online grocery delivery (next-day or scheduled); unpredictable stock availability at local stores; lack of assortment variety in neighborhood kiranas; high cost and time of commuting to buy essential items; absence of reliable 24/7 delivery in urban areas; poor product quality control in hyperlocal delivery; need for instant delivery of high-value electronics and lifestyle products</v>
      </c>
    </row>
    <row r="47" spans="1:5" x14ac:dyDescent="0.2">
      <c r="A47">
        <v>46</v>
      </c>
      <c r="B47">
        <v>17</v>
      </c>
      <c r="C47" t="s">
        <v>218</v>
      </c>
      <c r="D47" t="s">
        <v>220</v>
      </c>
      <c r="E47" t="str">
        <f>_xlfn.XLOOKUP(Table1[[#This Row],[DB ID]],Table2[DB ID],Table2[Input Data],"XLookUp Not Found")</f>
        <v>Consumer Staples – Grocery &amp; Food Retail (GICS 30101010); Consumer Discretionary – E-Commerce &amp; Internet Retail (GICS 25502020); Healthcare – Pharmaceuticals Distribution (emerging); Technology – Internet Software &amp; Services (GICS 45103010); Consumer Discretionary – Electronics Retail (GICS 25504010)</v>
      </c>
    </row>
    <row r="48" spans="1:5" x14ac:dyDescent="0.2">
      <c r="A48">
        <v>47</v>
      </c>
      <c r="B48">
        <v>18</v>
      </c>
      <c r="C48" t="s">
        <v>218</v>
      </c>
      <c r="D48" t="s">
        <v>221</v>
      </c>
      <c r="E48" t="str">
        <f>_xlfn.XLOOKUP(Table1[[#This Row],[DB ID]],Table2[DB ID],Table2[Input Data],"XLookUp Not Found")</f>
        <v>10-minute grocery &amp; FMCG delivery; fresh produce, dairy and meat delivery; electronics and gadgets (iPhones, PlayStation, laptops); personal care and beauty products; baby care essentials; pet care products; pharmacy and OTC medicines (pilot); household and cleaning supplies; Blinkit Print (printing documents from app); stationery and books; fashion accessories; in-app retail media advertising platform (for FMCG brands)</v>
      </c>
    </row>
    <row r="49" spans="1:5" x14ac:dyDescent="0.2">
      <c r="A49">
        <v>48</v>
      </c>
      <c r="B49">
        <v>19</v>
      </c>
      <c r="C49" t="s">
        <v>218</v>
      </c>
      <c r="D49" t="s">
        <v>222</v>
      </c>
      <c r="E49" t="str">
        <f>_xlfn.XLOOKUP(Table1[[#This Row],[DB ID]],Table2[DB ID],Table2[Input Data],"XLookUp Not Found")</f>
        <v>Urban millennial and Gen-Z consumers (25–35 age group, ~63% male users); dual-income urban households; working professionals in metro cities; parents needing instant baby/childcare supplies; gamers and tech enthusiasts (electronics SKUs); last-minute event planners; FMCG brands advertising on platform (557+ brand advertisers as of Q3 FY24); small businesses ordering office supplies; health-conscious consumers buying organic/natural products; pet owners; students in college towns</v>
      </c>
    </row>
    <row r="50" spans="1:5" x14ac:dyDescent="0.2">
      <c r="A50">
        <v>49</v>
      </c>
      <c r="B50">
        <v>20</v>
      </c>
      <c r="C50" t="s">
        <v>218</v>
      </c>
      <c r="D50" t="s">
        <v>223</v>
      </c>
      <c r="E50" t="str">
        <f>_xlfn.XLOOKUP(Table1[[#This Row],[DB ID]],Table2[DB ID],Table2[Input Data],"XLookUp Not Found")</f>
        <v>Sub-10-minute guaranteed delivery in most urban areas; widest assortment (up to 25,000 SKUs) available for instant delivery; price parity with offline retail through own-inventory model (first-party, GSTIN-level control); reliability of stock availability via AI-driven demand forecasting; seamless integration with Zomato app for cross-platform convenience</v>
      </c>
    </row>
    <row r="51" spans="1:5" x14ac:dyDescent="0.2">
      <c r="A51">
        <v>50</v>
      </c>
      <c r="B51">
        <v>24</v>
      </c>
      <c r="C51" t="s">
        <v>218</v>
      </c>
      <c r="D51" t="s">
        <v>224</v>
      </c>
      <c r="E51" t="str">
        <f>_xlfn.XLOOKUP(Table1[[#This Row],[DB ID]],Table2[DB ID],Table2[Input Data],"XLookUp Not Found")</f>
        <v>First-mover and density leader in India's quick-commerce dark store model; 90%+ first-party inventory model (vs. marketplace peers) providing pricing and quality control; native integration with Eternal/Zomato's 24M+ monthly active food delivery users; AI-powered hyperlocal demand forecasting minimizing stockouts; rapid category expansion into electronics and high-value SKUs creating higher AOV (₹650+)</v>
      </c>
    </row>
    <row r="52" spans="1:5" x14ac:dyDescent="0.2">
      <c r="A52">
        <v>51</v>
      </c>
      <c r="B52">
        <v>25</v>
      </c>
      <c r="C52" t="s">
        <v>218</v>
      </c>
      <c r="D52" t="s">
        <v>225</v>
      </c>
      <c r="E52" t="str">
        <f>_xlfn.XLOOKUP(Table1[[#This Row],[DB ID]],Table2[DB ID],Table2[Input Data],"XLookUp Not Found")</f>
        <v>Densest dark store network in India (2,100+ stores, vs. 1,100–1,200 for Swiggy Instamart and Zepto); strong parent capital from Eternal Ltd (₹2,600 Cr invested in 2025 alone); proven EBITDA positivity milestone (first in quick-commerce sector, Q4 FY25); proprietary AI logistics stack reducing delivery costs and stockouts; network effect from Zomato integration giving cross-selling access; established brand recognition in metro India</v>
      </c>
    </row>
    <row r="53" spans="1:5" x14ac:dyDescent="0.2">
      <c r="A53">
        <v>52</v>
      </c>
      <c r="B53">
        <v>26</v>
      </c>
      <c r="C53" t="s">
        <v>218</v>
      </c>
      <c r="D53" t="s">
        <v>226</v>
      </c>
      <c r="E53" t="str">
        <f>_xlfn.XLOOKUP(Table1[[#This Row],[DB ID]],Table2[DB ID],Table2[Input Data],"XLookUp Not Found")</f>
        <v>Primarily metro-focused with limited Tier-2 / Tier-3 penetration; high capital expenditure requirement for dark store expansion; thin or negative margins outside Tier-1 cities; regulatory scrutiny over gig worker pay structures; limited international presence; high dependence on parent Eternal for capital and cross-platform traffic</v>
      </c>
    </row>
    <row r="54" spans="1:5" x14ac:dyDescent="0.2">
      <c r="A54">
        <v>53</v>
      </c>
      <c r="B54">
        <v>27</v>
      </c>
      <c r="C54" t="s">
        <v>218</v>
      </c>
      <c r="D54" t="s">
        <v>227</v>
      </c>
      <c r="E54" t="str">
        <f>_xlfn.XLOOKUP(Table1[[#This Row],[DB ID]],Table2[DB ID],Table2[Input Data],"XLookUp Not Found")</f>
        <v>Intensifying competition from Zepto, Swiggy Instamart, Flipkart Minutes, Amazon Now, and JioMart; sustaining profitability while aggressively expanding to 3,000 stores by March 2027; regulatory pressure from Indian government on 10-minute delivery SLAs due to rider safety concerns; managing inventory bloat in dark stores with expanding SKU count; scaling reverse logistics for electronics and fashion returns; retaining and fairly compensating delivery partner workforce</v>
      </c>
    </row>
    <row r="55" spans="1:5" x14ac:dyDescent="0.2">
      <c r="A55">
        <v>54</v>
      </c>
      <c r="B55">
        <v>28</v>
      </c>
      <c r="C55" t="s">
        <v>218</v>
      </c>
      <c r="D55" t="s">
        <v>228</v>
      </c>
      <c r="E55" t="str">
        <f>_xlfn.XLOOKUP(Table1[[#This Row],[DB ID]],Table2[DB ID],Table2[Input Data],"XLookUp Not Found")</f>
        <v>Zepto (direct – quick commerce); Swiggy Instamart (direct – quick commerce); BigBasket (Tata-owned – online grocery); Amazon Now / Amazon Fresh (direct – quick commerce); Flipkart Minutes (direct – quick commerce); JioMart (Reliance – online grocery + quick commerce); Dunzo (hyperlocal delivery); Nykaa (personal care e-commerce); DMart Ready (scheduled grocery); Myntra (fashion, adjacent); Grofers (former brand, same entity); Pepperfry (adjacent – home); PharmEasy (pharmacy delivery); 1mg / Tata 1mg (pharmacy)</v>
      </c>
    </row>
    <row r="56" spans="1:5" x14ac:dyDescent="0.2">
      <c r="A56">
        <v>55</v>
      </c>
      <c r="B56">
        <v>66</v>
      </c>
      <c r="C56" t="s">
        <v>218</v>
      </c>
      <c r="D56" t="s">
        <v>229</v>
      </c>
      <c r="E56" t="str">
        <f>_xlfn.XLOOKUP(Table1[[#This Row],[DB ID]],Table2[DB ID],Table2[Input Data],"XLookUp Not Found")</f>
        <v>~45–50% of India's quick-commerce order volume (per Goldman Sachs, Bank of America, 2025); Swiggy Instamart holds ~27%, Zepto ~21%</v>
      </c>
    </row>
    <row r="57" spans="1:5" x14ac:dyDescent="0.2">
      <c r="A57">
        <v>56</v>
      </c>
      <c r="B57">
        <v>71</v>
      </c>
      <c r="C57" t="s">
        <v>218</v>
      </c>
      <c r="D57" t="s">
        <v>230</v>
      </c>
      <c r="E57" t="str">
        <f>_xlfn.XLOOKUP(Table1[[#This Row],[DB ID]],Table2[DB ID],Table2[Input Data],"XLookUp Not Found")</f>
        <v>Product-Led Growth (PLG) via mobile app + aggressive performance marketing; consumer-direct B2C model; no traditional sales team; growth driven by app downloads, Zomato cross-platform promotion, and word-of-mouth</v>
      </c>
    </row>
    <row r="58" spans="1:5" x14ac:dyDescent="0.2">
      <c r="A58">
        <v>57</v>
      </c>
      <c r="B58">
        <v>77</v>
      </c>
      <c r="C58" t="s">
        <v>218</v>
      </c>
      <c r="D58" t="s">
        <v>231</v>
      </c>
      <c r="E58" t="str">
        <f>_xlfn.XLOOKUP(Table1[[#This Row],[DB ID]],Table2[DB ID],Table2[Input Data],"XLookUp Not Found")</f>
        <v>Low – B2C consumer model with millions of individual customers; no single customer contributes &gt;1% of revenue; no material customer concentration risk</v>
      </c>
    </row>
    <row r="59" spans="1:5" x14ac:dyDescent="0.2">
      <c r="A59">
        <v>58</v>
      </c>
      <c r="B59">
        <v>93</v>
      </c>
      <c r="C59" t="s">
        <v>218</v>
      </c>
      <c r="D59" t="s">
        <v>232</v>
      </c>
      <c r="E59" t="str">
        <f>_xlfn.XLOOKUP(Table1[[#This Row],[DB ID]],Table2[DB ID],Table2[Input Data],"XLookUp Not Found")</f>
        <v>2022 – Acquired by Zomato (now Eternal Ltd) for $568M in an all-stock deal (primary exit event for early investors); No independent IPO planned as of 2026; part of Eternal Ltd listed entity on NSE/BSE; investors including SoftBank and Tiger Global realized partial returns through Zomato stock</v>
      </c>
    </row>
    <row r="60" spans="1:5" x14ac:dyDescent="0.2">
      <c r="A60">
        <v>59</v>
      </c>
      <c r="B60">
        <v>96</v>
      </c>
      <c r="C60" t="s">
        <v>218</v>
      </c>
      <c r="D60" t="s">
        <v>233</v>
      </c>
      <c r="E60" t="str">
        <f>_xlfn.XLOOKUP(Table1[[#This Row],[DB ID]],Table2[DB ID],Table2[Input Data],"XLookUp Not Found")</f>
        <v>Blinkit: 45–50% market share, 2,100+ dark stores, ₹4,390 Cr revenue (FY25), adjusted EBITDA positive; Zepto: ~21% share, ~1,200 stores, $7B valuation, loss-making; Swiggy Instamart: ~27% share, ~1,100–1,200 stores, loss-making, 124 cities; Flipkart Minutes: ~800 stores, rapidly scaling, Walmart-backed; Amazon Now: 330–500 stores, ₹2,000 Cr investment committed</v>
      </c>
    </row>
    <row r="61" spans="1:5" x14ac:dyDescent="0.2">
      <c r="A61">
        <v>60</v>
      </c>
      <c r="B61">
        <v>97</v>
      </c>
      <c r="C61" t="s">
        <v>218</v>
      </c>
      <c r="D61" t="s">
        <v>234</v>
      </c>
      <c r="E61" t="str">
        <f>_xlfn.XLOOKUP(Table1[[#This Row],[DB ID]],Table2[DB ID],Table2[Input Data],"XLookUp Not Found")</f>
        <v>Revenue projected at ₹8,000–10,000 Cr for FY26 (based on 90%+ growth trajectory); 3,000 dark stores target by March 2027; adjusted EBITDA positivity on full-year basis expected FY26; India's quick-commerce market projected to reach $106B by 2034 at 45.6% CAGR, giving Blinkit a massive growth runway</v>
      </c>
    </row>
    <row r="62" spans="1:5" x14ac:dyDescent="0.2">
      <c r="A62">
        <v>61</v>
      </c>
      <c r="B62">
        <v>98</v>
      </c>
      <c r="C62" t="s">
        <v>218</v>
      </c>
      <c r="D62" t="s">
        <v>235</v>
      </c>
      <c r="E62" t="str">
        <f>_xlfn.XLOOKUP(Table1[[#This Row],[DB ID]],Table2[DB ID],Table2[Input Data],"XLookUp Not Found")</f>
        <v>Scale dark store network to 3,000 by March 2027 with Tier-1 deepening and Tier-2 entry; sustain and expand adjusted EBITDA positivity through first-party inventory model; expand high-value SKU categories (electronics, pharmacy, fashion) to increase AOV; grow retail media advertising revenue with 557+ brand partners; leverage Albinder Dhindsa's elevation as Eternal Group CEO to integrate quick-commerce at the heart of parent strategy</v>
      </c>
    </row>
    <row r="63" spans="1:5" x14ac:dyDescent="0.2">
      <c r="A63">
        <v>62</v>
      </c>
      <c r="B63">
        <v>99</v>
      </c>
      <c r="C63" t="s">
        <v>218</v>
      </c>
      <c r="D63" t="s">
        <v>236</v>
      </c>
      <c r="E63" t="str">
        <f>_xlfn.XLOOKUP(Table1[[#This Row],[DB ID]],Table2[DB ID],Table2[Input Data],"XLookUp Not Found")</f>
        <v>NASSCOM (National Association of Software and Service Companies); IAMAI (Internet and Mobile Association of India); CII (Confederation of Indian Industry) – via Eternal Ltd membership; FSSAI Industry Consultative Group (regulatory engagement); Retailers Association of India (emerging engagement)</v>
      </c>
    </row>
    <row r="64" spans="1:5" x14ac:dyDescent="0.2">
      <c r="A64">
        <v>63</v>
      </c>
      <c r="B64">
        <v>100</v>
      </c>
      <c r="C64" t="s">
        <v>218</v>
      </c>
      <c r="D64" t="s">
        <v>237</v>
      </c>
      <c r="E64" t="str">
        <f>_xlfn.XLOOKUP(Table1[[#This Row],[DB ID]],Table2[DB ID],Table2[Input Data],"XLookUp Not Found")</f>
        <v>Blinkit's 10-minute iPhone delivery case (widely covered in media, 2022–2023, demonstrating extreme category expansion); Cognitute.org case study on Blinkit's dark store AI logistics optimization (https://www.cognitute.org/case-study/blinkit-dark-store-network-and-ai-logistics); MarketHub24 case study on dark store optimization for faster deliveries (https://www.markhub24.com/post/blinkit-s-dark-store-optimization-for-faster-deliveries); Grofers Smart Bachat Club loyalty program case study (5 lakh paid subscriptions in 8 months, documented on Glassdoor company page)</v>
      </c>
    </row>
    <row r="65" spans="1:5" x14ac:dyDescent="0.2">
      <c r="A65">
        <v>64</v>
      </c>
      <c r="B65">
        <v>101</v>
      </c>
      <c r="C65" t="s">
        <v>218</v>
      </c>
      <c r="D65" t="s">
        <v>238</v>
      </c>
      <c r="E65" t="str">
        <f>_xlfn.XLOOKUP(Table1[[#This Row],[DB ID]],Table2[DB ID],Table2[Input Data],"XLookUp Not Found")</f>
        <v>Consumer app-first distribution (iOS and Android) with zero sales team; Zomato cross-app integration driving user cross-pollination from 24M+ food delivery MAUs; hyperlocal dark store network as physical GTM infrastructure; brand persona built on humor and relatability on social media (meme marketing); performance marketing on Google, Meta, and YouTube for user acquisition; FMCG brand partnerships for co-marketing and advertising revenue; dark store expansion as GTM strategy into new city clusters</v>
      </c>
    </row>
    <row r="66" spans="1:5" x14ac:dyDescent="0.2">
      <c r="A66">
        <v>65</v>
      </c>
      <c r="B66">
        <v>102</v>
      </c>
      <c r="C66" t="s">
        <v>218</v>
      </c>
      <c r="D66" t="s">
        <v>239</v>
      </c>
      <c r="E66" t="str">
        <f>_xlfn.XLOOKUP(Table1[[#This Row],[DB ID]],Table2[DB ID],Table2[Input Data],"XLookUp Not Found")</f>
        <v>AI-driven demand forecasting v2 (neighborhood-level prediction with 15-minute pre-staging); EV fleet 100% electrification by 2025–2026; Blinkit Print expansion to more cities; pharmacy delivery rollout beyond Bengaluru pilot; AR beauty try-on feature expansion; retail media platform scaling (targeting 1,000+ brand partners by FY26)</v>
      </c>
    </row>
    <row r="67" spans="1:5" x14ac:dyDescent="0.2">
      <c r="A67">
        <v>66</v>
      </c>
      <c r="B67">
        <v>103</v>
      </c>
      <c r="C67" t="s">
        <v>218</v>
      </c>
      <c r="D67" t="s">
        <v>240</v>
      </c>
      <c r="E67" t="str">
        <f>_xlfn.XLOOKUP(Table1[[#This Row],[DB ID]],Table2[DB ID],Table2[Input Data],"XLookUp Not Found")</f>
        <v>Full-scale pharmacy delivery (currently piloting in Bengaluru); Blinkit for Business (B2B office supplies, in development); expanded fashion accessories and apparel category; Blinkit Express (larger-format dark stores for bulky items); international expansion (not yet launched, long-term); loyalty and subscription program for frequent users</v>
      </c>
    </row>
    <row r="68" spans="1:5" x14ac:dyDescent="0.2">
      <c r="A68">
        <v>67</v>
      </c>
      <c r="B68">
        <v>108</v>
      </c>
      <c r="C68" t="s">
        <v>218</v>
      </c>
      <c r="D68" t="s">
        <v>241</v>
      </c>
      <c r="E68" t="str">
        <f>_xlfn.XLOOKUP(Table1[[#This Row],[DB ID]],Table2[DB ID],Table2[Input Data],"XLookUp Not Found")</f>
        <v>India's total grocery and essentials retail market: approximately $750–800 billion (2024); global quick-commerce TAM: $350–500 billion by 2030</v>
      </c>
    </row>
    <row r="69" spans="1:5" x14ac:dyDescent="0.2">
      <c r="A69">
        <v>68</v>
      </c>
      <c r="B69">
        <v>109</v>
      </c>
      <c r="C69" t="s">
        <v>218</v>
      </c>
      <c r="D69" t="s">
        <v>242</v>
      </c>
      <c r="E69" t="str">
        <f>_xlfn.XLOOKUP(Table1[[#This Row],[DB ID]],Table2[DB ID],Table2[Input Data],"XLookUp Not Found")</f>
        <v>India's organized and online grocery + essentials market in urban areas: approximately $25–35 billion (2024–2025); quick-commerce segment projected at $6–7 billion in 2024 growing to $106 billion by 2034</v>
      </c>
    </row>
    <row r="70" spans="1:5" x14ac:dyDescent="0.2">
      <c r="A70">
        <v>69</v>
      </c>
      <c r="B70">
        <v>110</v>
      </c>
      <c r="C70" t="s">
        <v>218</v>
      </c>
      <c r="D70" t="s">
        <v>243</v>
      </c>
      <c r="E70" t="str">
        <f>_xlfn.XLOOKUP(Table1[[#This Row],[DB ID]],Table2[DB ID],Table2[Input Data],"XLookUp Not Found")</f>
        <v>Blinkit's realistic near-term capture: approximately $3–4 billion GOV (based on 45% market share of $6–7B quick-commerce market); targeting $8–10B+ GOV by FY27 as market expands</v>
      </c>
    </row>
    <row r="71" spans="1:5" x14ac:dyDescent="0.2">
      <c r="A71">
        <v>70</v>
      </c>
      <c r="B71">
        <v>121</v>
      </c>
      <c r="C71" t="s">
        <v>244</v>
      </c>
      <c r="D71" t="s">
        <v>245</v>
      </c>
      <c r="E71" t="str">
        <f>_xlfn.XLOOKUP(Table1[[#This Row],[DB ID]],Table2[DB ID],Table2[Input Data],"XLookUp Not Found")</f>
        <v>Standard Earned Leave (EL) and Sick Leave per Indian labor laws; maternity and paternity leave in line with statutory requirements; mental health leave policy not publicly documented; casual leave available for corporate staff</v>
      </c>
    </row>
    <row r="72" spans="1:5" x14ac:dyDescent="0.2">
      <c r="A72">
        <v>71</v>
      </c>
      <c r="B72">
        <v>132</v>
      </c>
      <c r="C72" t="s">
        <v>244</v>
      </c>
      <c r="D72" t="s">
        <v>246</v>
      </c>
      <c r="E72" t="str">
        <f>_xlfn.XLOOKUP(Table1[[#This Row],[DB ID]],Table2[DB ID],Table2[Input Data],"XLookUp Not Found")</f>
        <v>Group medical insurance for corporate employees (covering self and dependents, estimated ₹5–10 lakh cover); OPD allowance for senior roles; mental health support resources through Eternal Ltd's employee wellness programs; dark store and gig workers covered under ESIC (Employees' State Insurance) as per statutory requirements</v>
      </c>
    </row>
    <row r="73" spans="1:5" x14ac:dyDescent="0.2">
      <c r="A73">
        <v>72</v>
      </c>
      <c r="B73">
        <v>150</v>
      </c>
      <c r="C73" t="s">
        <v>244</v>
      </c>
      <c r="D73" t="s">
        <v>247</v>
      </c>
      <c r="E73" t="str">
        <f>_xlfn.XLOOKUP(Table1[[#This Row],[DB ID]],Table2[DB ID],Table2[Input Data],"XLookUp Not Found")</f>
        <v>Corporate roles: approximately 70–80% fixed, 20–30% variable (performance bonus + ESOP component); dark store operations staff: primarily fixed/shift-based; delivery partners: variable (per-order earnings)</v>
      </c>
    </row>
    <row r="74" spans="1:5" x14ac:dyDescent="0.2">
      <c r="A74">
        <v>73</v>
      </c>
      <c r="B74">
        <v>151</v>
      </c>
      <c r="C74" t="s">
        <v>244</v>
      </c>
      <c r="D74" t="s">
        <v>248</v>
      </c>
      <c r="E74" t="str">
        <f>_xlfn.XLOOKUP(Table1[[#This Row],[DB ID]],Table2[DB ID],Table2[Input Data],"XLookUp Not Found")</f>
        <v>Moderate – annual performance bonuses paid for corporate employees; dependent on parent Eternal Ltd's overall performance; not guaranteed during heavy investment/loss-making quarters</v>
      </c>
    </row>
    <row r="75" spans="1:5" x14ac:dyDescent="0.2">
      <c r="A75">
        <v>74</v>
      </c>
      <c r="B75">
        <v>152</v>
      </c>
      <c r="C75" t="s">
        <v>244</v>
      </c>
      <c r="D75" t="s">
        <v>249</v>
      </c>
      <c r="E75" t="str">
        <f>_xlfn.XLOOKUP(Table1[[#This Row],[DB ID]],Table2[DB ID],Table2[Input Data],"XLookUp Not Found")</f>
        <v>ESOPs granted in Eternal Ltd (parent) stock (NSE/BSE listed); vesting period typically 4 years with 1-year cliff; ESOP value linked to Eternal Ltd market cap (significant upside as Blinkit's valuation grows); Glassdoor compensation rated 3.7/5</v>
      </c>
    </row>
    <row r="76" spans="1:5" x14ac:dyDescent="0.2">
      <c r="A76">
        <v>75</v>
      </c>
      <c r="B76">
        <v>153</v>
      </c>
      <c r="C76" t="s">
        <v>244</v>
      </c>
      <c r="D76" t="s">
        <v>250</v>
      </c>
      <c r="E76" t="str">
        <f>_xlfn.XLOOKUP(Table1[[#This Row],[DB ID]],Table2[DB ID],Table2[Input Data],"XLookUp Not Found")</f>
        <v>Group mediclaim policy for employees covering spouse, children, and dependent parents (estimated ₹5–10 lakh sum insured for corporate roles); ESIC coverage for operations and dark store staff as per statutory requirements</v>
      </c>
    </row>
    <row r="77" spans="1:5" x14ac:dyDescent="0.2">
      <c r="A77">
        <v>76</v>
      </c>
      <c r="B77">
        <v>154</v>
      </c>
      <c r="C77" t="s">
        <v>244</v>
      </c>
      <c r="D77" t="s">
        <v>251</v>
      </c>
      <c r="E77" t="str">
        <f>_xlfn.XLOOKUP(Table1[[#This Row],[DB ID]],Table2[DB ID],Table2[Input Data],"XLookUp Not Found")</f>
        <v>Relocation assistance available for senior hires moving to Gurugram HQ (estimated ₹50,000–₹1,50,000 one-time); exact policy not publicly documented</v>
      </c>
    </row>
    <row r="78" spans="1:5" x14ac:dyDescent="0.2">
      <c r="A78">
        <v>77</v>
      </c>
      <c r="B78">
        <v>155</v>
      </c>
      <c r="C78" t="s">
        <v>244</v>
      </c>
      <c r="D78" t="s">
        <v>252</v>
      </c>
      <c r="E78" t="str">
        <f>_xlfn.XLOOKUP(Table1[[#This Row],[DB ID]],Table2[DB ID],Table2[Input Data],"XLookUp Not Found")</f>
        <v>Subsidized/free meals at HQ cafeteria (estimated); Blinkit's own platform credits (employee grocery delivery discounts); wellness programs under Eternal Ltd; late-night cab reimbursement; mobile and internet allowances for corporate staff; gym/fitness reimbursement for senior roles</v>
      </c>
    </row>
    <row r="79" spans="1:5" x14ac:dyDescent="0.2">
      <c r="A79">
        <v>78</v>
      </c>
      <c r="B79">
        <v>13</v>
      </c>
      <c r="C79" t="s">
        <v>253</v>
      </c>
      <c r="D79" t="s">
        <v>254</v>
      </c>
      <c r="E79" t="str">
        <f>_xlfn.XLOOKUP(Table1[[#This Row],[DB ID]],Table2[DB ID],Table2[Input Data],"XLookUp Not Found")</f>
        <v>Engineering &amp; Product: ~150–200 open roles; Operations &amp; Supply Chain: ~300–400 open roles; Dark Store Staff: ~500+ ongoing openings; Business Development &amp; Category: ~50–80 open roles; Corporate/Support Functions: ~30–50 open roles</v>
      </c>
    </row>
    <row r="80" spans="1:5" x14ac:dyDescent="0.2">
      <c r="A80">
        <v>79</v>
      </c>
      <c r="B80">
        <v>14</v>
      </c>
      <c r="C80" t="s">
        <v>253</v>
      </c>
      <c r="D80" t="s">
        <v>255</v>
      </c>
      <c r="E80" t="str">
        <f>_xlfn.XLOOKUP(Table1[[#This Row],[DB ID]],Table2[DB ID],Table2[Input Data],"XLookUp Not Found")</f>
        <v>Estimated 35–45% annually (high due to large gig/contract workforce; corporate staff turnover estimated 20–25%; industry average for quick-commerce ~30–40%)</v>
      </c>
    </row>
    <row r="81" spans="1:5" x14ac:dyDescent="0.2">
      <c r="A81">
        <v>80</v>
      </c>
      <c r="B81">
        <v>15</v>
      </c>
      <c r="C81" t="s">
        <v>253</v>
      </c>
      <c r="D81" t="s">
        <v>256</v>
      </c>
      <c r="E81" t="str">
        <f>_xlfn.XLOOKUP(Table1[[#This Row],[DB ID]],Table2[DB ID],Table2[Input Data],"XLookUp Not Found")</f>
        <v>Estimated 1.5–2.5 years for corporate employees; under 12 months for dark store operations staff (based on Glassdoor data and quick-commerce industry benchmarks)</v>
      </c>
    </row>
    <row r="82" spans="1:5" x14ac:dyDescent="0.2">
      <c r="A82">
        <v>81</v>
      </c>
      <c r="B82">
        <v>89</v>
      </c>
      <c r="C82" t="s">
        <v>253</v>
      </c>
      <c r="D82" t="s">
        <v>257</v>
      </c>
      <c r="E82" t="str">
        <f>_xlfn.XLOOKUP(Table1[[#This Row],[DB ID]],Table2[DB ID],Table2[Input Data],"XLookUp Not Found")</f>
        <v>Gender: approximately 63% male, 37% female app user base (Similarweb); internal workforce gender split not publicly disclosed; Eternal Ltd (parent) has stated DEI commitments in annual reports; women in leadership estimated at 20–25% (based on industry norms); no public diversity report published by Blinkit independently</v>
      </c>
    </row>
    <row r="83" spans="1:5" x14ac:dyDescent="0.2">
      <c r="A83">
        <v>82</v>
      </c>
      <c r="B83">
        <v>111</v>
      </c>
      <c r="C83" t="s">
        <v>253</v>
      </c>
      <c r="D83" t="s">
        <v>258</v>
      </c>
      <c r="E83" t="str">
        <f>_xlfn.XLOOKUP(Table1[[#This Row],[DB ID]],Table2[DB ID],Table2[Input Data],"XLookUp Not Found")</f>
        <v>Fast-paced, execution-driven startup culture even post-acquisition; strong bias for ownership and accountability; collaborative within teams but intense pressure during scaling phases; Glassdoor reviews highlight good growth mindset but poor work-life balance (2.7/5 WLB rating)</v>
      </c>
    </row>
    <row r="84" spans="1:5" x14ac:dyDescent="0.2">
      <c r="A84">
        <v>83</v>
      </c>
      <c r="B84">
        <v>112</v>
      </c>
      <c r="C84" t="s">
        <v>253</v>
      </c>
      <c r="D84" t="s">
        <v>259</v>
      </c>
      <c r="E84" t="str">
        <f>_xlfn.XLOOKUP(Table1[[#This Row],[DB ID]],Table2[DB ID],Table2[Input Data],"XLookUp Not Found")</f>
        <v>Mixed – senior leadership (CEO level) widely praised as visionary and execution-focused; middle management quality varies significantly across functions; dark store operations managers reported as task-completion focused rather than coaching-oriented (per Glassdoor reviews)</v>
      </c>
    </row>
    <row r="85" spans="1:5" x14ac:dyDescent="0.2">
      <c r="A85">
        <v>84</v>
      </c>
      <c r="B85">
        <v>113</v>
      </c>
      <c r="C85" t="s">
        <v>253</v>
      </c>
      <c r="D85" t="s">
        <v>260</v>
      </c>
      <c r="E85" t="str">
        <f>_xlfn.XLOOKUP(Table1[[#This Row],[DB ID]],Table2[DB ID],Table2[Input Data],"XLookUp Not Found")</f>
        <v>Moderate – high-speed operations culture creates pressure; corporate team members report reasonable openness to feedback at team level; gig/operations workforce has lower psychological safety given recent pay restructuring disputes</v>
      </c>
    </row>
    <row r="86" spans="1:5" x14ac:dyDescent="0.2">
      <c r="A86">
        <v>85</v>
      </c>
      <c r="B86">
        <v>114</v>
      </c>
      <c r="C86" t="s">
        <v>253</v>
      </c>
      <c r="D86" t="s">
        <v>261</v>
      </c>
      <c r="E86" t="str">
        <f>_xlfn.XLOOKUP(Table1[[#This Row],[DB ID]],Table2[DB ID],Table2[Input Data],"XLookUp Not Found")</f>
        <v>Continuous feedback culture at senior tech/product levels; formal performance reviews on biannual cycle; dark store and operations staff feedback mechanisms less structured</v>
      </c>
    </row>
    <row r="87" spans="1:5" x14ac:dyDescent="0.2">
      <c r="A87">
        <v>86</v>
      </c>
      <c r="B87">
        <v>115</v>
      </c>
      <c r="C87" t="s">
        <v>253</v>
      </c>
      <c r="D87" t="s">
        <v>262</v>
      </c>
      <c r="E87" t="str">
        <f>_xlfn.XLOOKUP(Table1[[#This Row],[DB ID]],Table2[DB ID],Table2[Input Data],"XLookUp Not Found")</f>
        <v>Limited public DEI data; user base skews male (63%); working on gender diversity at corporate level; gig workforce predominantly male due to logistics nature of work; no independent diversity report published; parent Eternal Ltd has DEI commitments in annual reports</v>
      </c>
    </row>
    <row r="88" spans="1:5" x14ac:dyDescent="0.2">
      <c r="A88">
        <v>87</v>
      </c>
      <c r="B88">
        <v>116</v>
      </c>
      <c r="C88" t="s">
        <v>253</v>
      </c>
      <c r="D88" t="s">
        <v>263</v>
      </c>
      <c r="E88" t="str">
        <f>_xlfn.XLOOKUP(Table1[[#This Row],[DB ID]],Table2[DB ID],Table2[Input Data],"XLookUp Not Found")</f>
        <v>Commitment to food safety compliance (post-FSSAI 2024 findings, reforms underway); gig worker payout disputes in 2023 raised fairness questions; company held firm on new pay structure; no major corporate fraud or financial misconduct reported; ethical sourcing practices evolving</v>
      </c>
    </row>
    <row r="89" spans="1:5" x14ac:dyDescent="0.2">
      <c r="A89">
        <v>88</v>
      </c>
      <c r="B89">
        <v>122</v>
      </c>
      <c r="C89" t="s">
        <v>253</v>
      </c>
      <c r="D89" t="s">
        <v>264</v>
      </c>
      <c r="E89" t="str">
        <f>_xlfn.XLOOKUP(Table1[[#This Row],[DB ID]],Table2[DB ID],Table2[Input Data],"XLookUp Not Found")</f>
        <v>High – Glassdoor WLB rating of 2.7/5 (below industry average); rapid expansion pace and high-pressure delivery SLAs create sustained operational stress; tech team works under aggressive sprint cycles; mitigated partially by strong salary and learning opportunities</v>
      </c>
    </row>
    <row r="90" spans="1:5" x14ac:dyDescent="0.2">
      <c r="A90">
        <v>89</v>
      </c>
      <c r="B90">
        <v>149</v>
      </c>
      <c r="C90" t="s">
        <v>253</v>
      </c>
      <c r="D90" t="s">
        <v>265</v>
      </c>
      <c r="E90" t="str">
        <f>_xlfn.XLOOKUP(Table1[[#This Row],[DB ID]],Table2[DB ID],Table2[Input Data],"XLookUp Not Found")</f>
        <v>No major public layoff event reported at corporate level; gig worker attrition high and management-directed pay restructuring in 2023 led to effective workforce reduction in delivery partner count (not traditional layoffs); Blinkit underwent workforce restructuring during the Grofers-to-Blinkit pivot (2021–2022)</v>
      </c>
    </row>
    <row r="91" spans="1:5" x14ac:dyDescent="0.2">
      <c r="A91">
        <v>90</v>
      </c>
      <c r="B91">
        <v>161</v>
      </c>
      <c r="C91" t="s">
        <v>253</v>
      </c>
      <c r="D91" t="s">
        <v>266</v>
      </c>
      <c r="E91" t="str">
        <f>_xlfn.XLOOKUP(Table1[[#This Row],[DB ID]],Table2[DB ID],Table2[Input Data],"XLookUp Not Found")</f>
        <v>High – Blinkit's 10-minute delivery promise is an exceptionally clear and measurable mission; every employee understands the core KPI; organizational decisions consistently align with speed and reliability as primary values</v>
      </c>
    </row>
    <row r="92" spans="1:5" x14ac:dyDescent="0.2">
      <c r="A92">
        <v>91</v>
      </c>
      <c r="B92">
        <v>162</v>
      </c>
      <c r="C92" t="s">
        <v>253</v>
      </c>
      <c r="D92" t="s">
        <v>267</v>
      </c>
      <c r="E92" t="str">
        <f>_xlfn.XLOOKUP(Table1[[#This Row],[DB ID]],Table2[DB ID],Table2[Input Data],"XLookUp Not Found")</f>
        <v>EV fleet electrification commitment; food waste reduction via AI-driven demand forecasting; Eternal Ltd's broader CSR includes hunger relief initiatives and sustainable packaging goals; Blinkit-specific CSR not independently reported</v>
      </c>
    </row>
    <row r="93" spans="1:5" x14ac:dyDescent="0.2">
      <c r="A93">
        <v>92</v>
      </c>
      <c r="B93">
        <v>163</v>
      </c>
      <c r="C93" t="s">
        <v>253</v>
      </c>
      <c r="D93" t="s">
        <v>268</v>
      </c>
      <c r="E93" t="str">
        <f>_xlfn.XLOOKUP(Table1[[#This Row],[DB ID]],Table2[DB ID],Table2[Input Data],"XLookUp Not Found")</f>
        <v>Demonstrably resilient – navigated near-collapse post-Zomato acquisition (2022), gig worker strike (2023), FSSAI raid (2024), and intense competitive pressure; leadership maintained course corrections without public panic; held firm on structural decisions (pay restructuring) despite short-term controversy; overall crisis management rated competent by industry observers</v>
      </c>
    </row>
    <row r="94" spans="1:5" x14ac:dyDescent="0.2">
      <c r="A94">
        <v>93</v>
      </c>
      <c r="B94">
        <v>60</v>
      </c>
      <c r="C94" t="s">
        <v>269</v>
      </c>
      <c r="D94" t="s">
        <v>270</v>
      </c>
      <c r="E94" t="str">
        <f>_xlfn.XLOOKUP(Table1[[#This Row],[DB ID]],Table2[DB ID],Table2[Input Data],"XLookUp Not Found")</f>
        <v>₹4,390 Cr (~$525M USD) for FY2025 (year ending March 31, 2025); ₹2,301 Cr for FY2024; representing 90%+ YoY growth</v>
      </c>
    </row>
    <row r="95" spans="1:5" x14ac:dyDescent="0.2">
      <c r="A95">
        <v>94</v>
      </c>
      <c r="B95">
        <v>61</v>
      </c>
      <c r="C95" t="s">
        <v>269</v>
      </c>
      <c r="D95" t="s">
        <v>271</v>
      </c>
      <c r="E95" t="str">
        <f>_xlfn.XLOOKUP(Table1[[#This Row],[DB ID]],Table2[DB ID],Table2[Input Data],"XLookUp Not Found")</f>
        <v>Loss-making at EBITDA level historically; Q4 FY25 first adjusted EBITDA positive quarter (₹4 Cr adjusted EBITDA); full-year FY25 still at adjusted EBITDA loss; narrowing rapidly toward breakeven</v>
      </c>
    </row>
    <row r="96" spans="1:5" x14ac:dyDescent="0.2">
      <c r="A96">
        <v>95</v>
      </c>
      <c r="B96">
        <v>62</v>
      </c>
      <c r="C96" t="s">
        <v>269</v>
      </c>
      <c r="D96" t="s">
        <v>272</v>
      </c>
      <c r="E96" t="str">
        <f>_xlfn.XLOOKUP(Table1[[#This Row],[DB ID]],Table2[DB ID],Table2[Input Data],"XLookUp Not Found")</f>
        <v>Platform/delivery fees (~35–40% of revenue); product sales/inventory margin – first-party model (~45–50%); in-app advertising / retail media (~10–12%); Blinkit Print and ancillary services (~2–3%)</v>
      </c>
    </row>
    <row r="97" spans="1:5" x14ac:dyDescent="0.2">
      <c r="A97">
        <v>96</v>
      </c>
      <c r="B97">
        <v>63</v>
      </c>
      <c r="C97" t="s">
        <v>269</v>
      </c>
      <c r="D97" t="s">
        <v>273</v>
      </c>
      <c r="E97" t="str">
        <f>_xlfn.XLOOKUP(Table1[[#This Row],[DB ID]],Table2[DB ID],Table2[Input Data],"XLookUp Not Found")</f>
        <v>$10.5–$13 billion USD (Goldman Sachs valuation, 2024–2025); implicitly valued as the primary growth asset of Eternal Ltd (market cap ~$20B+)</v>
      </c>
    </row>
    <row r="98" spans="1:5" x14ac:dyDescent="0.2">
      <c r="A98">
        <v>97</v>
      </c>
      <c r="B98">
        <v>64</v>
      </c>
      <c r="C98" t="s">
        <v>269</v>
      </c>
      <c r="D98" t="s">
        <v>274</v>
      </c>
      <c r="E98" t="str">
        <f>_xlfn.XLOOKUP(Table1[[#This Row],[DB ID]],Table2[DB ID],Table2[Input Data],"XLookUp Not Found")</f>
        <v>Revenue: ~91% YoY (FY25 vs FY24); Gross Order Value: ~134% YoY (Q4 FY25)</v>
      </c>
    </row>
    <row r="99" spans="1:5" x14ac:dyDescent="0.2">
      <c r="A99">
        <v>98</v>
      </c>
      <c r="B99">
        <v>65</v>
      </c>
      <c r="C99" t="s">
        <v>269</v>
      </c>
      <c r="D99" t="s">
        <v>275</v>
      </c>
      <c r="E99" t="str">
        <f>_xlfn.XLOOKUP(Table1[[#This Row],[DB ID]],Table2[DB ID],Table2[Input Data],"XLookUp Not Found")</f>
        <v>Near break-even / approaching profitability – first adjusted EBITDA positive quarter reported in Q4 FY25 (₹4 Cr); full-year FY26 EBITDA positivity expected by management guidance</v>
      </c>
    </row>
    <row r="100" spans="1:5" x14ac:dyDescent="0.2">
      <c r="A100">
        <v>99</v>
      </c>
      <c r="B100">
        <v>67</v>
      </c>
      <c r="C100" t="s">
        <v>269</v>
      </c>
      <c r="D100" t="s">
        <v>276</v>
      </c>
      <c r="E100" t="str">
        <f>_xlfn.XLOOKUP(Table1[[#This Row],[DB ID]],Table2[DB ID],Table2[Input Data],"XLookUp Not Found")</f>
        <v>Eternal Ltd / Zomato (primary capital provider post-acquisition, ₹3,000+ Cr infused 2024–2026); SoftBank Vision Fund; Tiger Global Management; Peak XV Partners (formerly Sequoia Capital India); Falcon Edge Capital; International Finance Corporation (IFC); Luxor Capital</v>
      </c>
    </row>
    <row r="101" spans="1:5" x14ac:dyDescent="0.2">
      <c r="A101">
        <v>100</v>
      </c>
      <c r="B101">
        <v>68</v>
      </c>
      <c r="C101" t="s">
        <v>269</v>
      </c>
      <c r="D101" t="s">
        <v>277</v>
      </c>
      <c r="E101" t="str">
        <f>_xlfn.XLOOKUP(Table1[[#This Row],[DB ID]],Table2[DB ID],Table2[Input Data],"XLookUp Not Found")</f>
        <v>Mar 2026 – ₹450 Cr infusion from Eternal Ltd (internal capital); Nov 2025 – ₹600 Cr (₹599.94 Cr) equity issuance to Eternal Ltd; Feb 2025 – ₹1,500 Cr infusion from Eternal Ltd for dark store expansion; 2024 – ₹400 Cr internal capital from Eternal Ltd; Mar 2022 – $150M Conventional Debt round (last external round)</v>
      </c>
    </row>
    <row r="102" spans="1:5" x14ac:dyDescent="0.2">
      <c r="A102">
        <v>101</v>
      </c>
      <c r="B102">
        <v>69</v>
      </c>
      <c r="C102" t="s">
        <v>269</v>
      </c>
      <c r="D102" t="s">
        <v>278</v>
      </c>
      <c r="E102" t="str">
        <f>_xlfn.XLOOKUP(Table1[[#This Row],[DB ID]],Table2[DB ID],Table2[Input Data],"XLookUp Not Found")</f>
        <v>$757M raised externally (15 funding rounds pre-acquisition); post-acquisition, ₹3,000+ Cr (~$360M+) infused internally by Eternal Ltd through 2025–2026; total lifetime capital approximately $1.1B+</v>
      </c>
    </row>
    <row r="103" spans="1:5" x14ac:dyDescent="0.2">
      <c r="A103">
        <v>102</v>
      </c>
      <c r="B103">
        <v>72</v>
      </c>
      <c r="C103" t="s">
        <v>269</v>
      </c>
      <c r="D103" t="s">
        <v>279</v>
      </c>
      <c r="E103" t="str">
        <f>_xlfn.XLOOKUP(Table1[[#This Row],[DB ID]],Table2[DB ID],Table2[Input Data],"XLookUp Not Found")</f>
        <v>Estimated ₹150–₹300 per new transacting user (based on Eternal's reported marketing spend and active user base of 24M+; exact Blinkit-specific CAC not disclosed)</v>
      </c>
    </row>
    <row r="104" spans="1:5" x14ac:dyDescent="0.2">
      <c r="A104">
        <v>103</v>
      </c>
      <c r="B104">
        <v>73</v>
      </c>
      <c r="C104" t="s">
        <v>269</v>
      </c>
      <c r="D104" t="s">
        <v>280</v>
      </c>
      <c r="E104" t="str">
        <f>_xlfn.XLOOKUP(Table1[[#This Row],[DB ID]],Table2[DB ID],Table2[Input Data],"XLookUp Not Found")</f>
        <v>Estimated ₹5,000–₹12,000 annually per active user (based on AOV of ₹650, order frequency of 8–15 orders/month for active users, 12-month window)</v>
      </c>
    </row>
    <row r="105" spans="1:5" x14ac:dyDescent="0.2">
      <c r="A105">
        <v>104</v>
      </c>
      <c r="B105">
        <v>74</v>
      </c>
      <c r="C105" t="s">
        <v>269</v>
      </c>
      <c r="D105" t="s">
        <v>281</v>
      </c>
      <c r="E105" t="str">
        <f>_xlfn.XLOOKUP(Table1[[#This Row],[DB ID]],Table2[DB ID],Table2[Input Data],"XLookUp Not Found")</f>
        <v>Estimated 20:1 to 40:1 (highly favorable; quick-commerce relies on high frequency repeat orders making LTV significantly exceed CAC)</v>
      </c>
    </row>
    <row r="106" spans="1:5" x14ac:dyDescent="0.2">
      <c r="A106">
        <v>105</v>
      </c>
      <c r="B106">
        <v>75</v>
      </c>
      <c r="C106" t="s">
        <v>269</v>
      </c>
      <c r="D106" t="s">
        <v>282</v>
      </c>
      <c r="E106" t="str">
        <f>_xlfn.XLOOKUP(Table1[[#This Row],[DB ID]],Table2[DB ID],Table2[Input Data],"XLookUp Not Found")</f>
        <v>Estimated 25–35% annual customer churn (quick-commerce industry average; Blinkit's retention better than peers due to Zomato integration; exact figure not disclosed)</v>
      </c>
    </row>
    <row r="107" spans="1:5" x14ac:dyDescent="0.2">
      <c r="A107">
        <v>106</v>
      </c>
      <c r="B107">
        <v>76</v>
      </c>
      <c r="C107" t="s">
        <v>269</v>
      </c>
      <c r="D107" t="s">
        <v>283</v>
      </c>
      <c r="E107" t="str">
        <f>_xlfn.XLOOKUP(Table1[[#This Row],[DB ID]],Table2[DB ID],Table2[Input Data],"XLookUp Not Found")</f>
        <v>Estimated 40–55 (positive; based on Glassdoor sentiment, app store ratings of 4.2/5, and brand sentiment data; exact NPS not publicly disclosed)</v>
      </c>
    </row>
    <row r="108" spans="1:5" x14ac:dyDescent="0.2">
      <c r="A108">
        <v>107</v>
      </c>
      <c r="B108">
        <v>78</v>
      </c>
      <c r="C108" t="s">
        <v>269</v>
      </c>
      <c r="D108" t="s">
        <v>284</v>
      </c>
      <c r="E108" t="str">
        <f>_xlfn.XLOOKUP(Table1[[#This Row],[DB ID]],Table2[DB ID],Table2[Input Data],"XLookUp Not Found")</f>
        <v>Estimated ₹150–₹250 Cr per month (net operational burn, excluding Eternal's capital infusions; narrowing as contribution margin turns positive; Blinkit is near EBITDA breakeven as of Q4 FY25)</v>
      </c>
    </row>
    <row r="109" spans="1:5" x14ac:dyDescent="0.2">
      <c r="A109">
        <v>108</v>
      </c>
      <c r="B109">
        <v>79</v>
      </c>
      <c r="C109" t="s">
        <v>269</v>
      </c>
      <c r="D109" t="s">
        <v>285</v>
      </c>
      <c r="E109" t="str">
        <f>_xlfn.XLOOKUP(Table1[[#This Row],[DB ID]],Table2[DB ID],Table2[Input Data],"XLookUp Not Found")</f>
        <v>Not a standalone funded entity – backed by Eternal Ltd with ₹8,500 Cr QIP raised in 2024; runway effectively unlimited as long as parent remains solvent and committed</v>
      </c>
    </row>
    <row r="110" spans="1:5" x14ac:dyDescent="0.2">
      <c r="A110">
        <v>109</v>
      </c>
      <c r="B110">
        <v>80</v>
      </c>
      <c r="C110" t="s">
        <v>269</v>
      </c>
      <c r="D110" t="s">
        <v>286</v>
      </c>
      <c r="E110" t="str">
        <f>_xlfn.XLOOKUP(Table1[[#This Row],[DB ID]],Table2[DB ID],Table2[Input Data],"XLookUp Not Found")</f>
        <v>Estimated 1.5–2.5x (net burn / net new GOV added; improving rapidly as unit economics turn positive; exact figure not disclosed)</v>
      </c>
    </row>
    <row r="111" spans="1:5" x14ac:dyDescent="0.2">
      <c r="A111">
        <v>110</v>
      </c>
      <c r="B111">
        <v>90</v>
      </c>
      <c r="C111" t="s">
        <v>287</v>
      </c>
      <c r="D111" t="s">
        <v>288</v>
      </c>
      <c r="E111" t="str">
        <f>_xlfn.XLOOKUP(Table1[[#This Row],[DB ID]],Table2[DB ID],Table2[Input Data],"XLookUp Not Found")</f>
        <v>Primarily office/on-site for corporate roles (Gurugram HQ); limited hybrid available for select tech and product roles; dark store operations staff fully on-site; consistent with Glassdoor reviews noting office-first culture</v>
      </c>
    </row>
    <row r="112" spans="1:5" x14ac:dyDescent="0.2">
      <c r="A112">
        <v>111</v>
      </c>
      <c r="B112">
        <v>117</v>
      </c>
      <c r="C112" t="s">
        <v>287</v>
      </c>
      <c r="D112" t="s">
        <v>289</v>
      </c>
      <c r="E112" t="str">
        <f>_xlfn.XLOOKUP(Table1[[#This Row],[DB ID]],Table2[DB ID],Table2[Input Data],"XLookUp Not Found")</f>
        <v>9–10 hours/day for corporate roles; dark store and delivery staff work shift-based hours (8-hour shifts typical); corporate roles often require beyond-hours availability during product launches and peak seasons</v>
      </c>
    </row>
    <row r="113" spans="1:5" x14ac:dyDescent="0.2">
      <c r="A113">
        <v>112</v>
      </c>
      <c r="B113">
        <v>118</v>
      </c>
      <c r="C113" t="s">
        <v>287</v>
      </c>
      <c r="D113" t="s">
        <v>290</v>
      </c>
      <c r="E113" t="str">
        <f>_xlfn.XLOOKUP(Table1[[#This Row],[DB ID]],Table2[DB ID],Table2[Input Data],"XLookUp Not Found")</f>
        <v>Moderate-to-high for corporate and tech roles during expansion phases; dark store operations staff follow structured shift schedules; Glassdoor reviews note pressure during peak periods (festive seasons, new store launches)</v>
      </c>
    </row>
    <row r="114" spans="1:5" x14ac:dyDescent="0.2">
      <c r="A114">
        <v>113</v>
      </c>
      <c r="B114">
        <v>119</v>
      </c>
      <c r="C114" t="s">
        <v>287</v>
      </c>
      <c r="D114" t="s">
        <v>291</v>
      </c>
      <c r="E114" t="str">
        <f>_xlfn.XLOOKUP(Table1[[#This Row],[DB ID]],Table2[DB ID],Table2[Input Data],"XLookUp Not Found")</f>
        <v>Occasionally expected for corporate roles during launches or operational crises; dark store staff work weekends as part of regular rotation</v>
      </c>
    </row>
    <row r="115" spans="1:5" x14ac:dyDescent="0.2">
      <c r="A115">
        <v>114</v>
      </c>
      <c r="B115">
        <v>120</v>
      </c>
      <c r="C115" t="s">
        <v>287</v>
      </c>
      <c r="D115" t="s">
        <v>292</v>
      </c>
      <c r="E115" t="str">
        <f>_xlfn.XLOOKUP(Table1[[#This Row],[DB ID]],Table2[DB ID],Table2[Input Data],"XLookUp Not Found")</f>
        <v>Primarily on-site for corporate roles (Gurugram HQ); limited hybrid flexibility available for senior tech/product roles; no fully remote positions; dark store and operations roles 100% on-site</v>
      </c>
    </row>
    <row r="116" spans="1:5" x14ac:dyDescent="0.2">
      <c r="A116">
        <v>115</v>
      </c>
      <c r="B116">
        <v>123</v>
      </c>
      <c r="C116" t="s">
        <v>287</v>
      </c>
      <c r="D116" t="s">
        <v>293</v>
      </c>
      <c r="E116" t="str">
        <f>_xlfn.XLOOKUP(Table1[[#This Row],[DB ID]],Table2[DB ID],Table2[Input Data],"XLookUp Not Found")</f>
        <v>HQ in Sector 18, Gurugram – peripheral to central Delhi but well-located in Gurugram's commercial belt; accessible via NH-48 (Delhi-Gurugram Expressway); not in a traditional tech park</v>
      </c>
    </row>
    <row r="117" spans="1:5" x14ac:dyDescent="0.2">
      <c r="A117">
        <v>116</v>
      </c>
      <c r="B117">
        <v>124</v>
      </c>
      <c r="C117" t="s">
        <v>287</v>
      </c>
      <c r="D117" t="s">
        <v>294</v>
      </c>
      <c r="E117" t="str">
        <f>_xlfn.XLOOKUP(Table1[[#This Row],[DB ID]],Table2[DB ID],Table2[Input Data],"XLookUp Not Found")</f>
        <v>HUDA City Centre Metro (Yellow Line) approximately 5–7 km from HQ; Gurugram-Delhi bus routes available; auto-rickshaw and cab services widely available; limited direct metro connectivity to Sector 18</v>
      </c>
    </row>
    <row r="118" spans="1:5" x14ac:dyDescent="0.2">
      <c r="A118">
        <v>117</v>
      </c>
      <c r="B118">
        <v>125</v>
      </c>
      <c r="C118" t="s">
        <v>287</v>
      </c>
      <c r="D118" t="s">
        <v>295</v>
      </c>
      <c r="E118" t="str">
        <f>_xlfn.XLOOKUP(Table1[[#This Row],[DB ID]],Table2[DB ID],Table2[Input Data],"XLookUp Not Found")</f>
        <v>Ola, Uber, and Rapido widely available in Gurugram; company-provided cab facilities available for late-night shifts (per industry norm for Gurugram tech companies); exact Blinkit cab policy not publicly disclosed</v>
      </c>
    </row>
    <row r="119" spans="1:5" x14ac:dyDescent="0.2">
      <c r="A119">
        <v>118</v>
      </c>
      <c r="B119">
        <v>126</v>
      </c>
      <c r="C119" t="s">
        <v>287</v>
      </c>
      <c r="D119" t="s">
        <v>296</v>
      </c>
      <c r="E119" t="str">
        <f>_xlfn.XLOOKUP(Table1[[#This Row],[DB ID]],Table2[DB ID],Table2[Input Data],"XLookUp Not Found")</f>
        <v>Approximately 20–30 minutes from Indira Gandhi International Airport (IGI) Terminal 3 via NH-48 under normal traffic; 45–60 minutes during peak hours</v>
      </c>
    </row>
    <row r="120" spans="1:5" x14ac:dyDescent="0.2">
      <c r="A120">
        <v>119</v>
      </c>
      <c r="B120">
        <v>127</v>
      </c>
      <c r="C120" t="s">
        <v>287</v>
      </c>
      <c r="D120" t="s">
        <v>297</v>
      </c>
      <c r="E120" t="str">
        <f>_xlfn.XLOOKUP(Table1[[#This Row],[DB ID]],Table2[DB ID],Table2[Input Data],"XLookUp Not Found")</f>
        <v>Mixed-use commercial area (Gurugram Sector 18); not a designated IT SEZ or tech park; near DLF Cyber City and Udyog Vihar commercial zones</v>
      </c>
    </row>
    <row r="121" spans="1:5" x14ac:dyDescent="0.2">
      <c r="A121">
        <v>120</v>
      </c>
      <c r="B121">
        <v>128</v>
      </c>
      <c r="C121" t="s">
        <v>287</v>
      </c>
      <c r="D121" t="s">
        <v>298</v>
      </c>
      <c r="E121" t="str">
        <f>_xlfn.XLOOKUP(Table1[[#This Row],[DB ID]],Table2[DB ID],Table2[Input Data],"XLookUp Not Found")</f>
        <v>Sector 18, Gurugram is a well-established commercial area with good daytime safety; nighttime safety reasonable with cab availability; standard Gurugram urban safety profile</v>
      </c>
    </row>
    <row r="122" spans="1:5" x14ac:dyDescent="0.2">
      <c r="A122">
        <v>121</v>
      </c>
      <c r="B122">
        <v>129</v>
      </c>
      <c r="C122" t="s">
        <v>287</v>
      </c>
      <c r="D122" t="s">
        <v>299</v>
      </c>
      <c r="E122" t="str">
        <f>_xlfn.XLOOKUP(Table1[[#This Row],[DB ID]],Table2[DB ID],Table2[Input Data],"XLookUp Not Found")</f>
        <v>Late-night cab service available for employees working late (estimated, per industry norm); women safety policies in place in line with POSH Act requirements; gig worker safety protocols improved post-2021 10-minute delivery controversy; FSSAI-mandated food safety protocols at dark stores</v>
      </c>
    </row>
    <row r="123" spans="1:5" x14ac:dyDescent="0.2">
      <c r="A123">
        <v>122</v>
      </c>
      <c r="B123">
        <v>130</v>
      </c>
      <c r="C123" t="s">
        <v>287</v>
      </c>
      <c r="D123" t="s">
        <v>300</v>
      </c>
      <c r="E123" t="str">
        <f>_xlfn.XLOOKUP(Table1[[#This Row],[DB ID]],Table2[DB ID],Table2[Input Data],"XLookUp Not Found")</f>
        <v>Standard corporate office safety in Gurugram HQ; fire safety systems, emergency exits compliant with local regulations; dark stores follow FSSAI storage safety requirements (ongoing improvements post-2024 audit)</v>
      </c>
    </row>
    <row r="124" spans="1:5" x14ac:dyDescent="0.2">
      <c r="A124">
        <v>123</v>
      </c>
      <c r="B124">
        <v>131</v>
      </c>
      <c r="C124" t="s">
        <v>287</v>
      </c>
      <c r="D124" t="s">
        <v>301</v>
      </c>
      <c r="E124" t="str">
        <f>_xlfn.XLOOKUP(Table1[[#This Row],[DB ID]],Table2[DB ID],Table2[Input Data],"XLookUp Not Found")</f>
        <v>Standard first-aid facilities at HQ; fire drills and emergency protocols per building management; dark stores have first-aid kits mandated by operations policy; medical emergency response via on-call support (estimated)</v>
      </c>
    </row>
    <row r="125" spans="1:5" x14ac:dyDescent="0.2">
      <c r="A125">
        <v>124</v>
      </c>
      <c r="B125">
        <v>44</v>
      </c>
      <c r="C125" t="s">
        <v>302</v>
      </c>
      <c r="D125" t="s">
        <v>303</v>
      </c>
      <c r="E125" t="str">
        <f>_xlfn.XLOOKUP(Table1[[#This Row],[DB ID]],Table2[DB ID],Table2[Input Data],"XLookUp Not Found")</f>
        <v>Albinder Dhindsa (Co-founder; also elevated to Group CEO of Eternal Ltd from Feb 1, 2026)</v>
      </c>
    </row>
    <row r="126" spans="1:5" x14ac:dyDescent="0.2">
      <c r="A126">
        <v>125</v>
      </c>
      <c r="B126">
        <v>45</v>
      </c>
      <c r="C126" t="s">
        <v>302</v>
      </c>
      <c r="D126" t="s">
        <v>304</v>
      </c>
      <c r="E126" t="str">
        <f>_xlfn.XLOOKUP(Table1[[#This Row],[DB ID]],Table2[DB ID],Table2[Input Data],"XLookUp Not Found")</f>
        <v>https://www.linkedin.com/in/albinderdhindsa</v>
      </c>
    </row>
    <row r="127" spans="1:5" x14ac:dyDescent="0.2">
      <c r="A127">
        <v>126</v>
      </c>
      <c r="B127">
        <v>46</v>
      </c>
      <c r="C127" t="s">
        <v>302</v>
      </c>
      <c r="D127" t="s">
        <v>305</v>
      </c>
      <c r="E127" t="str">
        <f>_xlfn.XLOOKUP(Table1[[#This Row],[DB ID]],Table2[DB ID],Table2[Input Data],"XLookUp Not Found")</f>
        <v>Albinder Dhindsa – Co-founder &amp; CEO (https://www.linkedin.com/in/albinder); Saurabh Kumar – Co-founder (https://www.linkedin.com/in/saurabhkumar1); Jacob Singh – CTO (https://www.linkedin.com/in/jacobsinghjr); Deepinder Goyal – Vice Chairman, Eternal Ltd (oversight, https://www.linkedin.com/in/deepindergoyal); Kaushik Dhar – VP Operations (LinkedIn: estimated, not publicly disclosed)</v>
      </c>
    </row>
    <row r="128" spans="1:5" x14ac:dyDescent="0.2">
      <c r="A128">
        <v>127</v>
      </c>
      <c r="B128">
        <v>47</v>
      </c>
      <c r="C128" t="s">
        <v>302</v>
      </c>
      <c r="D128" t="s">
        <v>306</v>
      </c>
      <c r="E128" t="str">
        <f>_xlfn.XLOOKUP(Table1[[#This Row],[DB ID]],Table2[DB ID],Table2[Input Data],"XLookUp Not Found")</f>
        <v>Via Eternal Ltd / Zomato board and executive network; via SoftBank Vision Fund portfolio company connections; via Tiger Global Management portfolio network; via Peak XV Partners (Sequoia India) alumni; via IIT Delhi and Columbia Business School alumni networks (Dhindsa's alma maters)</v>
      </c>
    </row>
    <row r="129" spans="1:5" x14ac:dyDescent="0.2">
      <c r="A129">
        <v>128</v>
      </c>
      <c r="B129">
        <v>48</v>
      </c>
      <c r="C129" t="s">
        <v>302</v>
      </c>
      <c r="D129" t="s">
        <v>307</v>
      </c>
      <c r="E129" t="str">
        <f>_xlfn.XLOOKUP(Table1[[#This Row],[DB ID]],Table2[DB ID],Table2[Input Data],"XLookUp Not Found")</f>
        <v>Medium – Blinkit leadership is accessible via LinkedIn and industry events; however, as a subsidiary of a listed company, formal business decisions flow through Eternal Ltd hierarchy; CEO Albinder Dhindsa is active on social media and shareholder letters</v>
      </c>
    </row>
    <row r="130" spans="1:5" x14ac:dyDescent="0.2">
      <c r="A130">
        <v>129</v>
      </c>
      <c r="B130">
        <v>51</v>
      </c>
      <c r="C130" t="s">
        <v>302</v>
      </c>
      <c r="D130" t="s">
        <v>308</v>
      </c>
      <c r="E130" t="str">
        <f>_xlfn.XLOOKUP(Table1[[#This Row],[DB ID]],Table2[DB ID],Table2[Input Data],"XLookUp Not Found")</f>
        <v>Albinder Dhindsa (CEO) for leadership contact; for partnerships, business development team contact not publicly named</v>
      </c>
    </row>
    <row r="131" spans="1:5" x14ac:dyDescent="0.2">
      <c r="A131">
        <v>130</v>
      </c>
      <c r="B131">
        <v>52</v>
      </c>
      <c r="C131" t="s">
        <v>302</v>
      </c>
      <c r="D131" t="s">
        <v>309</v>
      </c>
      <c r="E131" t="str">
        <f>_xlfn.XLOOKUP(Table1[[#This Row],[DB ID]],Table2[DB ID],Table2[Input Data],"XLookUp Not Found")</f>
        <v>Co-Founder &amp; CEO, Blinkit; Group CEO, Eternal Ltd</v>
      </c>
    </row>
    <row r="132" spans="1:5" x14ac:dyDescent="0.2">
      <c r="A132">
        <v>131</v>
      </c>
      <c r="B132">
        <v>53</v>
      </c>
      <c r="C132" t="s">
        <v>302</v>
      </c>
      <c r="D132" t="s">
        <v>310</v>
      </c>
      <c r="E132" t="str">
        <f>_xlfn.XLOOKUP(Table1[[#This Row],[DB ID]],Table2[DB ID],Table2[Input Data],"XLookUp Not Found")</f>
        <v>Not publicly disclosed (executive email not listed; general contact via support@blinkit.com)</v>
      </c>
    </row>
    <row r="133" spans="1:5" x14ac:dyDescent="0.2">
      <c r="A133">
        <v>132</v>
      </c>
      <c r="B133">
        <v>54</v>
      </c>
      <c r="C133" t="s">
        <v>302</v>
      </c>
      <c r="D133" t="s">
        <v>311</v>
      </c>
      <c r="E133" t="str">
        <f>_xlfn.XLOOKUP(Table1[[#This Row],[DB ID]],Table2[DB ID],Table2[Input Data],"XLookUp Not Found")</f>
        <v>Not Publicly Available</v>
      </c>
    </row>
    <row r="134" spans="1:5" x14ac:dyDescent="0.2">
      <c r="A134">
        <v>133</v>
      </c>
      <c r="B134">
        <v>104</v>
      </c>
      <c r="C134" t="s">
        <v>302</v>
      </c>
      <c r="D134" t="s">
        <v>312</v>
      </c>
      <c r="E134" t="str">
        <f>_xlfn.XLOOKUP(Table1[[#This Row],[DB ID]],Table2[DB ID],Table2[Input Data],"XLookUp Not Found")</f>
        <v>Deepinder Goyal – Vice Chairman, Eternal Ltd (oversight of Blinkit); Albinder Dhindsa – CEO, Blinkit &amp; Group CEO, Eternal Ltd; Eternal Ltd's full board includes independent directors: Namita Gupta, Aparna Popat, Surobhi Das, Akriti Chopra (resigned 2024); Sanjeev Bikhchandani (Info Edge, early Zomato investor); Eternal Ltd board oversight applies to Blinkit as wholly owned subsidiary</v>
      </c>
    </row>
    <row r="135" spans="1:5" x14ac:dyDescent="0.2">
      <c r="A135">
        <v>134</v>
      </c>
      <c r="B135">
        <v>91</v>
      </c>
      <c r="C135" t="s">
        <v>313</v>
      </c>
      <c r="D135" t="s">
        <v>314</v>
      </c>
      <c r="E135" t="str">
        <f>_xlfn.XLOOKUP(Table1[[#This Row],[DB ID]],Table2[DB ID],Table2[Input Data],"XLookUp Not Found")</f>
        <v>Not separately disclosed; estimated ₹5,000–₹15,000 per employee annually for corporate roles (based on quick-commerce industry benchmarks); operational training for dark store staff embedded in onboarding</v>
      </c>
    </row>
    <row r="136" spans="1:5" x14ac:dyDescent="0.2">
      <c r="A136">
        <v>135</v>
      </c>
      <c r="B136">
        <v>133</v>
      </c>
      <c r="C136" t="s">
        <v>313</v>
      </c>
      <c r="D136" t="s">
        <v>315</v>
      </c>
      <c r="E136" t="str">
        <f>_xlfn.XLOOKUP(Table1[[#This Row],[DB ID]],Table2[DB ID],Table2[Input Data],"XLookUp Not Found")</f>
        <v>Structured onboarding for corporate hires with product and operations immersion; dark store staff receive 1–2 week operational training; tech team onboarding leverages internal wikis and engineering documentation; Glassdoor reviews rate learning opportunities at 3.6/5</v>
      </c>
    </row>
    <row r="137" spans="1:5" x14ac:dyDescent="0.2">
      <c r="A137">
        <v>136</v>
      </c>
      <c r="B137">
        <v>134</v>
      </c>
      <c r="C137" t="s">
        <v>313</v>
      </c>
      <c r="D137" t="s">
        <v>316</v>
      </c>
      <c r="E137" t="str">
        <f>_xlfn.XLOOKUP(Table1[[#This Row],[DB ID]],Table2[DB ID],Table2[Input Data],"XLookUp Not Found")</f>
        <v>Access to internal knowledge-sharing sessions and engineering tech talks; LinkedIn Learning and external course reimbursements available for senior roles; Eternal Ltd cross-functional learning opportunities; informal mentorship through flat hierarchy at tech level</v>
      </c>
    </row>
    <row r="138" spans="1:5" x14ac:dyDescent="0.2">
      <c r="A138">
        <v>137</v>
      </c>
      <c r="B138">
        <v>135</v>
      </c>
      <c r="C138" t="s">
        <v>313</v>
      </c>
      <c r="D138" t="s">
        <v>317</v>
      </c>
      <c r="E138" t="str">
        <f>_xlfn.XLOOKUP(Table1[[#This Row],[DB ID]],Table2[DB ID],Table2[Input Data],"XLookUp Not Found")</f>
        <v>High-quality exposure for tech, product, and operations roles – working on real-world problems at massive scale (1.2M+ daily orders); direct impact on consumer experience; engineers work on distributed systems, AI/ML pipelines, and real-time logistics challenges</v>
      </c>
    </row>
    <row r="139" spans="1:5" x14ac:dyDescent="0.2">
      <c r="A139">
        <v>138</v>
      </c>
      <c r="B139">
        <v>136</v>
      </c>
      <c r="C139" t="s">
        <v>313</v>
      </c>
      <c r="D139" t="s">
        <v>318</v>
      </c>
      <c r="E139" t="str">
        <f>_xlfn.XLOOKUP(Table1[[#This Row],[DB ID]],Table2[DB ID],Table2[Input Data],"XLookUp Not Found")</f>
        <v>Available informally at senior tech and product levels; CEO Albinder Dhindsa known to be accessible for leadership mentorship; structured mentorship programs not formally documented; access to Eternal Ltd leadership for cross-functional learning</v>
      </c>
    </row>
    <row r="140" spans="1:5" x14ac:dyDescent="0.2">
      <c r="A140">
        <v>139</v>
      </c>
      <c r="B140">
        <v>137</v>
      </c>
      <c r="C140" t="s">
        <v>313</v>
      </c>
      <c r="D140" t="s">
        <v>319</v>
      </c>
      <c r="E140" t="str">
        <f>_xlfn.XLOOKUP(Table1[[#This Row],[DB ID]],Table2[DB ID],Table2[Input Data],"XLookUp Not Found")</f>
        <v>Moderate – opportunities to move across Blinkit business functions; inter-company transfers within Eternal Ltd group (Zomato food delivery, Hyperpure) available; not formally structured but practiced informally</v>
      </c>
    </row>
    <row r="141" spans="1:5" x14ac:dyDescent="0.2">
      <c r="A141">
        <v>140</v>
      </c>
      <c r="B141">
        <v>138</v>
      </c>
      <c r="C141" t="s">
        <v>313</v>
      </c>
      <c r="D141" t="s">
        <v>320</v>
      </c>
      <c r="E141" t="str">
        <f>_xlfn.XLOOKUP(Table1[[#This Row],[DB ID]],Table2[DB ID],Table2[Input Data],"XLookUp Not Found")</f>
        <v>Merit-based promotions with performance review cycles; promotion timelines faster than traditional companies due to rapid scaling; criteria not fully transparent per Glassdoor reviews; high performers can advance significantly within 18–24 months</v>
      </c>
    </row>
    <row r="142" spans="1:5" x14ac:dyDescent="0.2">
      <c r="A142">
        <v>141</v>
      </c>
      <c r="B142">
        <v>139</v>
      </c>
      <c r="C142" t="s">
        <v>313</v>
      </c>
      <c r="D142" t="s">
        <v>321</v>
      </c>
      <c r="E142" t="str">
        <f>_xlfn.XLOOKUP(Table1[[#This Row],[DB ID]],Table2[DB ID],Table2[Input Data],"XLookUp Not Found")</f>
        <v>Modern tech stack (React Native, Python, Golang, AWS, Kubernetes, Kafka); access to proprietary AI/ML platforms; Tableau for analytics; Salesforce for partner management; standard productivity suite (G Suite / Slack / Jira)</v>
      </c>
    </row>
    <row r="143" spans="1:5" x14ac:dyDescent="0.2">
      <c r="A143">
        <v>142</v>
      </c>
      <c r="B143">
        <v>140</v>
      </c>
      <c r="C143" t="s">
        <v>313</v>
      </c>
      <c r="D143" t="s">
        <v>322</v>
      </c>
      <c r="E143" t="str">
        <f>_xlfn.XLOOKUP(Table1[[#This Row],[DB ID]],Table2[DB ID],Table2[Input Data],"XLookUp Not Found")</f>
        <v>Moderate-to-high for tech and product roles (well-defined OKRs); lower for operations roles during rapid scaling; dark store managers report ambiguity during rapid expansion phases</v>
      </c>
    </row>
    <row r="144" spans="1:5" x14ac:dyDescent="0.2">
      <c r="A144">
        <v>143</v>
      </c>
      <c r="B144">
        <v>141</v>
      </c>
      <c r="C144" t="s">
        <v>313</v>
      </c>
      <c r="D144" t="s">
        <v>323</v>
      </c>
      <c r="E144" t="str">
        <f>_xlfn.XLOOKUP(Table1[[#This Row],[DB ID]],Table2[DB ID],Table2[Input Data],"XLookUp Not Found")</f>
        <v>High – Blinkit's startup culture grants early ownership and real responsibility to hires within 3–6 months; engineers and product managers own features end-to-end; operations managers run P&amp;L for individual dark stores</v>
      </c>
    </row>
    <row r="145" spans="1:5" x14ac:dyDescent="0.2">
      <c r="A145">
        <v>144</v>
      </c>
      <c r="B145">
        <v>142</v>
      </c>
      <c r="C145" t="s">
        <v>313</v>
      </c>
      <c r="D145" t="s">
        <v>324</v>
      </c>
      <c r="E145" t="str">
        <f>_xlfn.XLOOKUP(Table1[[#This Row],[DB ID]],Table2[DB ID],Table2[Input Data],"XLookUp Not Found")</f>
        <v>Direct impact on consumer experience (delivery speed, order accuracy); revenue impact (each dark store manager drives ₹6–18 lakh daily GOV); product decisions directly affect 24M+ active users</v>
      </c>
    </row>
    <row r="146" spans="1:5" x14ac:dyDescent="0.2">
      <c r="A146">
        <v>145</v>
      </c>
      <c r="B146">
        <v>143</v>
      </c>
      <c r="C146" t="s">
        <v>313</v>
      </c>
      <c r="D146" t="s">
        <v>325</v>
      </c>
      <c r="E146" t="str">
        <f>_xlfn.XLOOKUP(Table1[[#This Row],[DB ID]],Table2[DB ID],Table2[Input Data],"XLookUp Not Found")</f>
        <v>Execution-heavy at operations level; balanced execution-and-strategy at product and business levels; data science and engineering roles are thinking-heavy with strong analytical focus</v>
      </c>
    </row>
    <row r="147" spans="1:5" x14ac:dyDescent="0.2">
      <c r="A147">
        <v>146</v>
      </c>
      <c r="B147">
        <v>144</v>
      </c>
      <c r="C147" t="s">
        <v>313</v>
      </c>
      <c r="D147" t="s">
        <v>326</v>
      </c>
      <c r="E147" t="str">
        <f>_xlfn.XLOOKUP(Table1[[#This Row],[DB ID]],Table2[DB ID],Table2[Input Data],"XLookUp Not Found")</f>
        <v>High at technology and analytics levels; moderate at dark store operations (pickers and packers are manual but supported by digital scanning tools); delivery routing is fully algorithmic</v>
      </c>
    </row>
    <row r="148" spans="1:5" x14ac:dyDescent="0.2">
      <c r="A148">
        <v>147</v>
      </c>
      <c r="B148">
        <v>145</v>
      </c>
      <c r="C148" t="s">
        <v>313</v>
      </c>
      <c r="D148" t="s">
        <v>327</v>
      </c>
      <c r="E148" t="str">
        <f>_xlfn.XLOOKUP(Table1[[#This Row],[DB ID]],Table2[DB ID],Table2[Input Data],"XLookUp Not Found")</f>
        <v>High – supply chain, tech, product, marketing, and finance teams work closely together; dark store expansion teams collaborate across real estate, operations, and technology; advertising platform team works with external FMCG brands</v>
      </c>
    </row>
    <row r="149" spans="1:5" x14ac:dyDescent="0.2">
      <c r="A149">
        <v>148</v>
      </c>
      <c r="B149">
        <v>146</v>
      </c>
      <c r="C149" t="s">
        <v>313</v>
      </c>
      <c r="D149" t="s">
        <v>328</v>
      </c>
      <c r="E149" t="str">
        <f>_xlfn.XLOOKUP(Table1[[#This Row],[DB ID]],Table2[DB ID],Table2[Input Data],"XLookUp Not Found")</f>
        <v>Scale-up / Growth Stage – founded 2013, now fully integrated into listed parent Eternal Ltd; post-acquisition stability significantly higher than standalone startup; no independent listing risk</v>
      </c>
    </row>
    <row r="150" spans="1:5" x14ac:dyDescent="0.2">
      <c r="A150">
        <v>149</v>
      </c>
      <c r="B150">
        <v>147</v>
      </c>
      <c r="C150" t="s">
        <v>313</v>
      </c>
      <c r="D150" t="s">
        <v>329</v>
      </c>
      <c r="E150" t="str">
        <f>_xlfn.XLOOKUP(Table1[[#This Row],[DB ID]],Table2[DB ID],Table2[Input Data],"XLookUp Not Found")</f>
        <v>High within India's urban consumer internet space – Blinkit is a household name in metro cities; strong resume signal for product, tech, and operations professionals; globally recognized through Eternal Ltd association</v>
      </c>
    </row>
    <row r="151" spans="1:5" x14ac:dyDescent="0.2">
      <c r="A151">
        <v>150</v>
      </c>
      <c r="B151">
        <v>148</v>
      </c>
      <c r="C151" t="s">
        <v>313</v>
      </c>
      <c r="D151" t="s">
        <v>330</v>
      </c>
      <c r="E151" t="str">
        <f>_xlfn.XLOOKUP(Table1[[#This Row],[DB ID]],Table2[DB ID],Table2[Input Data],"XLookUp Not Found")</f>
        <v>End consumers are urban, digitally-savvy, high-purchasing-power metro residents; B2B advertising clients include HUL, P&amp;G, Nestlé, ITC, Marico (India's top FMCG companies); brand partner quality is high and growing</v>
      </c>
    </row>
    <row r="152" spans="1:5" x14ac:dyDescent="0.2">
      <c r="A152">
        <v>151</v>
      </c>
      <c r="B152">
        <v>156</v>
      </c>
      <c r="C152" t="s">
        <v>313</v>
      </c>
      <c r="D152" t="s">
        <v>331</v>
      </c>
      <c r="E152" t="str">
        <f>_xlfn.XLOOKUP(Table1[[#This Row],[DB ID]],Table2[DB ID],Table2[Input Data],"XLookUp Not Found")</f>
        <v>Strong – ex-Blinkit talent recruited by Zepto, Swiggy, Flipkart Commerce, Amazon India, McKinsey, BCG, and funded startups; supply chain and operations expertise highly sought; tech talent placed at Google, Microsoft, and global fintechs; entrepreneurship is a common exit path</v>
      </c>
    </row>
    <row r="153" spans="1:5" x14ac:dyDescent="0.2">
      <c r="A153">
        <v>152</v>
      </c>
      <c r="B153">
        <v>157</v>
      </c>
      <c r="C153" t="s">
        <v>313</v>
      </c>
      <c r="D153" t="s">
        <v>332</v>
      </c>
      <c r="E153" t="str">
        <f>_xlfn.XLOOKUP(Table1[[#This Row],[DB ID]],Table2[DB ID],Table2[Input Data],"XLookUp Not Found")</f>
        <v>Very High – skills in quick-commerce operations, dark store management, AI/ML logistics, hyperlocal supply chain, and consumer app development are among the most in-demand in Indian digital commerce as of 2025</v>
      </c>
    </row>
    <row r="154" spans="1:5" x14ac:dyDescent="0.2">
      <c r="A154">
        <v>153</v>
      </c>
      <c r="B154">
        <v>158</v>
      </c>
      <c r="C154" t="s">
        <v>313</v>
      </c>
      <c r="D154" t="s">
        <v>333</v>
      </c>
      <c r="E154" t="str">
        <f>_xlfn.XLOOKUP(Table1[[#This Row],[DB ID]],Table2[DB ID],Table2[Input Data],"XLookUp Not Found")</f>
        <v>High – Blinkit listed on resumes is recognized by top-tier employers in India and globally as a signal of high-velocity operations experience; Eternal Ltd association adds credibility</v>
      </c>
    </row>
    <row r="155" spans="1:5" x14ac:dyDescent="0.2">
      <c r="A155">
        <v>154</v>
      </c>
      <c r="B155">
        <v>159</v>
      </c>
      <c r="C155" t="s">
        <v>313</v>
      </c>
      <c r="D155" t="s">
        <v>334</v>
      </c>
      <c r="E155" t="str">
        <f>_xlfn.XLOOKUP(Table1[[#This Row],[DB ID]],Table2[DB ID],Table2[Input Data],"XLookUp Not Found")</f>
        <v>Strong alumni network within Indian startup ecosystem; Eternal Ltd / Zomato group alumni well-placed across Indian tech and consumer internet; IIT/IIM heavy leadership creates access to elite academic alumni networks</v>
      </c>
    </row>
    <row r="156" spans="1:5" x14ac:dyDescent="0.2">
      <c r="A156">
        <v>155</v>
      </c>
      <c r="B156">
        <v>160</v>
      </c>
      <c r="C156" t="s">
        <v>313</v>
      </c>
      <c r="D156" t="s">
        <v>335</v>
      </c>
      <c r="E156" t="str">
        <f>_xlfn.XLOOKUP(Table1[[#This Row],[DB ID]],Table2[DB ID],Table2[Input Data],"XLookUp Not Found")</f>
        <v>Limited currently – Blinkit operates only in India; however, Eternal Ltd's potential international expansion and investor relations (SoftBank, Goldman, Tiger Global) provide some global exposure; tech roles interact with global cloud vendors and open-source communities</v>
      </c>
    </row>
    <row r="157" spans="1:5" x14ac:dyDescent="0.2">
      <c r="A157">
        <v>156</v>
      </c>
      <c r="B157">
        <v>29</v>
      </c>
      <c r="C157" t="s">
        <v>336</v>
      </c>
      <c r="D157" t="s">
        <v>337</v>
      </c>
      <c r="E157" t="str">
        <f>_xlfn.XLOOKUP(Table1[[#This Row],[DB ID]],Table2[DB ID],Table2[Input Data],"XLookUp Not Found")</f>
        <v>Eternal Ltd / Zomato (parent platform integration); Google Cloud (infrastructure); AWS (cloud computing); Razorpay / Paytm / UPI (payments); Thomas Cook (multicurrency forex delivery); Bharti Airtel (SIM card delivery partnership); Various EV fleet partners for last-mile delivery</v>
      </c>
    </row>
    <row r="158" spans="1:5" x14ac:dyDescent="0.2">
      <c r="A158">
        <v>157</v>
      </c>
      <c r="B158">
        <v>81</v>
      </c>
      <c r="C158" t="s">
        <v>336</v>
      </c>
      <c r="D158" t="s">
        <v>338</v>
      </c>
      <c r="E158" t="str">
        <f>_xlfn.XLOOKUP(Table1[[#This Row],[DB ID]],Table2[DB ID],Table2[Input Data],"XLookUp Not Found")</f>
        <v>Proprietary AI/ML demand forecasting algorithms for dark store inventory; hyperlocal routing and dispatch optimization engine; dark store layout and operations IP (micro-warehouse setup methodology); Blinkit brand trademark; app UX and design patents (filed under Eternal Ltd); Seller Hub platform technology for brand partners</v>
      </c>
    </row>
    <row r="159" spans="1:5" x14ac:dyDescent="0.2">
      <c r="A159">
        <v>158</v>
      </c>
      <c r="B159">
        <v>82</v>
      </c>
      <c r="C159" t="s">
        <v>336</v>
      </c>
      <c r="D159" t="s">
        <v>339</v>
      </c>
      <c r="E159" t="str">
        <f>_xlfn.XLOOKUP(Table1[[#This Row],[DB ID]],Table2[DB ID],Table2[Input Data],"XLookUp Not Found")</f>
        <v>Not separately disclosed; Eternal Ltd reports combined tech &amp; product spend of approximately ₹500–800 Cr annually across all business units; Blinkit's share estimated at 20–30% of that (~₹100–200 Cr)</v>
      </c>
    </row>
    <row r="160" spans="1:5" x14ac:dyDescent="0.2">
      <c r="A160">
        <v>159</v>
      </c>
      <c r="B160">
        <v>83</v>
      </c>
      <c r="C160" t="s">
        <v>336</v>
      </c>
      <c r="D160" t="s">
        <v>340</v>
      </c>
      <c r="E160" t="str">
        <f>_xlfn.XLOOKUP(Table1[[#This Row],[DB ID]],Table2[DB ID],Table2[Input Data],"XLookUp Not Found")</f>
        <v>High – AI/ML deeply embedded in core operations: neighborhood-level demand forecasting (reducing stockouts by 15%); real-time routing optimization for delivery partners; ML-driven home-screen personalization for 20M+ MAUs; AR try-on features for beauty products; advertiser targeting engine for retail media platform</v>
      </c>
    </row>
    <row r="161" spans="1:5" x14ac:dyDescent="0.2">
      <c r="A161">
        <v>160</v>
      </c>
      <c r="B161">
        <v>84</v>
      </c>
      <c r="C161" t="s">
        <v>336</v>
      </c>
      <c r="D161" t="s">
        <v>341</v>
      </c>
      <c r="E161" t="str">
        <f>_xlfn.XLOOKUP(Table1[[#This Row],[DB ID]],Table2[DB ID],Table2[Input Data],"XLookUp Not Found")</f>
        <v>React Native (mobile app); Python (ML/data science backend); Golang (microservices); PostgreSQL / MySQL (databases); Apache Kafka (event streaming); Redis (caching); AWS (primary cloud); Google Cloud (secondary/ML workloads); Kubernetes (container orchestration); Tableau / internal dashboards (analytics); Salesforce (partner CRM, estimated); Firebase (push notifications)</v>
      </c>
    </row>
    <row r="162" spans="1:5" x14ac:dyDescent="0.2">
      <c r="A162">
        <v>161</v>
      </c>
      <c r="B162">
        <v>85</v>
      </c>
      <c r="C162" t="s">
        <v>336</v>
      </c>
      <c r="D162" t="s">
        <v>342</v>
      </c>
      <c r="E162" t="str">
        <f>_xlfn.XLOOKUP(Table1[[#This Row],[DB ID]],Table2[DB ID],Table2[Input Data],"XLookUp Not Found")</f>
        <v>PCI-DSS compliant (payment processing); ISO 27001 adherence expected under Eternal Ltd framework; no major publicly disclosed data breaches; consumer data handled under India's IT Act; app security regularly audited</v>
      </c>
    </row>
    <row r="163" spans="1:5" x14ac:dyDescent="0.2">
      <c r="A163">
        <v>162</v>
      </c>
      <c r="B163">
        <v>92</v>
      </c>
      <c r="C163" t="s">
        <v>336</v>
      </c>
      <c r="D163" t="s">
        <v>343</v>
      </c>
      <c r="E163" t="str">
        <f>_xlfn.XLOOKUP(Table1[[#This Row],[DB ID]],Table2[DB ID],Table2[Input Data],"XLookUp Not Found")</f>
        <v>Eternal Ltd / Zomato (parent cross-platform); Thomas Cook India (forex delivery); Bharti Airtel (SIM card delivery); FMCG brands (HUL, Nestlé, P&amp;G – advertising partners); Apple and Samsung (authorized electronics stocking); Razorpay / Paytm (payments); EV fleet partners (Euler Motors, Ather, estimated)</v>
      </c>
    </row>
    <row r="164" spans="1:5" x14ac:dyDescent="0.2">
      <c r="A164">
        <v>163</v>
      </c>
      <c r="B164">
        <v>107</v>
      </c>
      <c r="C164" t="s">
        <v>336</v>
      </c>
      <c r="D164" t="s">
        <v>344</v>
      </c>
      <c r="E164" t="str">
        <f>_xlfn.XLOOKUP(Table1[[#This Row],[DB ID]],Table2[DB ID],Table2[Input Data],"XLookUp Not Found")</f>
        <v>Blinkit: Advanced (AI/ML demand forecasting, real-time routing, AR features, retail media platform – well ahead of Indian quick-commerce peers); Zepto: Intermediate-Advanced (strong tech but smaller data set); Swiggy Instamart: Intermediate (leveraging Swiggy's existing tech stack)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FE1D-B0C4-4373-8CCD-C0082DCA7B19}">
  <dimension ref="B2:GA5"/>
  <sheetViews>
    <sheetView tabSelected="1" topLeftCell="BR1" workbookViewId="0">
      <selection activeCell="AX4" sqref="AX4:BW5"/>
    </sheetView>
  </sheetViews>
  <sheetFormatPr baseColWidth="10" defaultColWidth="8.83203125" defaultRowHeight="15" x14ac:dyDescent="0.2"/>
  <cols>
    <col min="2" max="2" width="14.1640625" bestFit="1" customWidth="1"/>
    <col min="3" max="3" width="10.5" bestFit="1" customWidth="1"/>
    <col min="4" max="4" width="13.83203125" bestFit="1" customWidth="1"/>
    <col min="5" max="5" width="10.5" bestFit="1" customWidth="1"/>
    <col min="6" max="6" width="11.1640625" bestFit="1" customWidth="1"/>
    <col min="7" max="7" width="20.5" bestFit="1" customWidth="1"/>
    <col min="8" max="8" width="15.6640625" bestFit="1" customWidth="1"/>
    <col min="9" max="9" width="21.1640625" bestFit="1" customWidth="1"/>
    <col min="10" max="10" width="23.5" bestFit="1" customWidth="1"/>
    <col min="11" max="11" width="21.5" bestFit="1" customWidth="1"/>
    <col min="12" max="12" width="14.5" bestFit="1" customWidth="1"/>
    <col min="13" max="13" width="17.83203125" bestFit="1" customWidth="1"/>
    <col min="14" max="14" width="16.6640625" bestFit="1" customWidth="1"/>
    <col min="15" max="15" width="18.83203125" bestFit="1" customWidth="1"/>
    <col min="16" max="16" width="20.6640625" bestFit="1" customWidth="1"/>
    <col min="17" max="17" width="14" bestFit="1" customWidth="1"/>
    <col min="18" max="18" width="17.83203125" bestFit="1" customWidth="1"/>
    <col min="19" max="19" width="14.6640625" bestFit="1" customWidth="1"/>
    <col min="20" max="20" width="13.6640625" bestFit="1" customWidth="1"/>
    <col min="21" max="21" width="13.83203125" bestFit="1" customWidth="1"/>
    <col min="22" max="22" width="16.5" bestFit="1" customWidth="1"/>
    <col min="23" max="23" width="15" bestFit="1" customWidth="1"/>
    <col min="24" max="24" width="15.6640625" bestFit="1" customWidth="1"/>
    <col min="25" max="25" width="24.33203125" bestFit="1" customWidth="1"/>
    <col min="26" max="26" width="25" bestFit="1" customWidth="1"/>
    <col min="27" max="27" width="19" bestFit="1" customWidth="1"/>
    <col min="28" max="28" width="14.33203125" bestFit="1" customWidth="1"/>
    <col min="29" max="29" width="13.5" bestFit="1" customWidth="1"/>
    <col min="30" max="30" width="29.1640625" bestFit="1" customWidth="1"/>
    <col min="31" max="31" width="19.1640625" bestFit="1" customWidth="1"/>
    <col min="32" max="32" width="14.33203125" bestFit="1" customWidth="1"/>
    <col min="33" max="33" width="18.5" bestFit="1" customWidth="1"/>
    <col min="34" max="34" width="18.33203125" bestFit="1" customWidth="1"/>
    <col min="35" max="35" width="21.6640625" bestFit="1" customWidth="1"/>
    <col min="36" max="36" width="24.33203125" bestFit="1" customWidth="1"/>
    <col min="37" max="38" width="21" customWidth="1"/>
    <col min="39" max="48" width="25.1640625" bestFit="1" customWidth="1"/>
    <col min="49" max="50" width="25.1640625" customWidth="1"/>
    <col min="51" max="51" width="24.5" bestFit="1" customWidth="1"/>
    <col min="52" max="52" width="17.83203125" bestFit="1" customWidth="1"/>
    <col min="53" max="53" width="22.5" bestFit="1" customWidth="1"/>
    <col min="54" max="54" width="17.83203125" bestFit="1" customWidth="1"/>
    <col min="55" max="55" width="24.5" bestFit="1" customWidth="1"/>
    <col min="56" max="56" width="23.5" bestFit="1" customWidth="1"/>
    <col min="57" max="57" width="25.5" bestFit="1" customWidth="1"/>
    <col min="58" max="58" width="19.6640625" bestFit="1" customWidth="1"/>
    <col min="59" max="59" width="23.5" bestFit="1" customWidth="1"/>
    <col min="60" max="60" width="18.33203125" bestFit="1" customWidth="1"/>
    <col min="61" max="61" width="27" bestFit="1" customWidth="1"/>
    <col min="62" max="62" width="17.83203125" bestFit="1" customWidth="1"/>
    <col min="63" max="63" width="30" bestFit="1" customWidth="1"/>
    <col min="64" max="64" width="22" bestFit="1" customWidth="1"/>
    <col min="65" max="65" width="22.5" bestFit="1" customWidth="1"/>
    <col min="66" max="66" width="20" bestFit="1" customWidth="1"/>
    <col min="67" max="67" width="20.5" bestFit="1" customWidth="1"/>
    <col min="68" max="68" width="23.1640625" bestFit="1" customWidth="1"/>
    <col min="69" max="69" width="17.83203125" bestFit="1" customWidth="1"/>
    <col min="70" max="70" width="23.83203125" bestFit="1" customWidth="1"/>
    <col min="71" max="71" width="21.83203125" bestFit="1" customWidth="1"/>
    <col min="72" max="72" width="18.5" bestFit="1" customWidth="1"/>
    <col min="73" max="75" width="17.83203125" bestFit="1" customWidth="1"/>
    <col min="76" max="77" width="17.83203125" customWidth="1"/>
    <col min="78" max="79" width="22.6640625" bestFit="1" customWidth="1"/>
    <col min="80" max="80" width="22.83203125" bestFit="1" customWidth="1"/>
    <col min="81" max="82" width="22.6640625" bestFit="1" customWidth="1"/>
    <col min="83" max="83" width="25.5" bestFit="1" customWidth="1"/>
    <col min="84" max="85" width="22.6640625" bestFit="1" customWidth="1"/>
    <col min="86" max="87" width="22.6640625" customWidth="1"/>
    <col min="88" max="88" width="16.5" bestFit="1" customWidth="1"/>
    <col min="89" max="89" width="20.83203125" bestFit="1" customWidth="1"/>
    <col min="90" max="90" width="22.5" bestFit="1" customWidth="1"/>
    <col min="91" max="91" width="18.83203125" bestFit="1" customWidth="1"/>
    <col min="92" max="92" width="24.5" bestFit="1" customWidth="1"/>
    <col min="93" max="93" width="18.33203125" bestFit="1" customWidth="1"/>
    <col min="94" max="94" width="22.33203125" bestFit="1" customWidth="1"/>
    <col min="95" max="95" width="19.1640625" bestFit="1" customWidth="1"/>
    <col min="96" max="96" width="26.33203125" bestFit="1" customWidth="1"/>
    <col min="97" max="97" width="19.5" bestFit="1" customWidth="1"/>
    <col min="98" max="99" width="16.1640625" bestFit="1" customWidth="1"/>
    <col min="100" max="100" width="17" bestFit="1" customWidth="1"/>
    <col min="101" max="101" width="19.33203125" bestFit="1" customWidth="1"/>
    <col min="102" max="102" width="17" bestFit="1" customWidth="1"/>
    <col min="103" max="104" width="16.1640625" customWidth="1"/>
    <col min="105" max="109" width="18.5" bestFit="1" customWidth="1"/>
    <col min="110" max="110" width="20.5" bestFit="1" customWidth="1"/>
    <col min="111" max="111" width="18.5" bestFit="1" customWidth="1"/>
    <col min="112" max="112" width="24.33203125" bestFit="1" customWidth="1"/>
    <col min="113" max="113" width="21.33203125" bestFit="1" customWidth="1"/>
    <col min="114" max="114" width="28" bestFit="1" customWidth="1"/>
    <col min="115" max="115" width="25.83203125" bestFit="1" customWidth="1"/>
    <col min="116" max="117" width="18.5" bestFit="1" customWidth="1"/>
    <col min="118" max="118" width="21.5" bestFit="1" customWidth="1"/>
    <col min="119" max="121" width="18.5" bestFit="1" customWidth="1"/>
    <col min="122" max="123" width="18.5" customWidth="1"/>
    <col min="124" max="124" width="23.33203125" bestFit="1" customWidth="1"/>
    <col min="125" max="125" width="17.1640625" bestFit="1" customWidth="1"/>
    <col min="126" max="126" width="24.1640625" bestFit="1" customWidth="1"/>
    <col min="127" max="128" width="17.1640625" bestFit="1" customWidth="1"/>
    <col min="129" max="129" width="20.5" bestFit="1" customWidth="1"/>
    <col min="130" max="130" width="25.6640625" bestFit="1" customWidth="1"/>
    <col min="131" max="131" width="17.1640625" bestFit="1" customWidth="1"/>
    <col min="132" max="132" width="24.1640625" bestFit="1" customWidth="1"/>
    <col min="133" max="133" width="18.5" bestFit="1" customWidth="1"/>
    <col min="134" max="135" width="17.1640625" bestFit="1" customWidth="1"/>
    <col min="136" max="136" width="22.33203125" bestFit="1" customWidth="1"/>
    <col min="137" max="137" width="26.83203125" bestFit="1" customWidth="1"/>
    <col min="138" max="139" width="23.6640625" customWidth="1"/>
    <col min="140" max="140" width="16" bestFit="1" customWidth="1"/>
    <col min="141" max="141" width="18.1640625" bestFit="1" customWidth="1"/>
    <col min="142" max="142" width="16" bestFit="1" customWidth="1"/>
    <col min="143" max="143" width="23" bestFit="1" customWidth="1"/>
    <col min="144" max="144" width="25" bestFit="1" customWidth="1"/>
    <col min="145" max="145" width="23.5" bestFit="1" customWidth="1"/>
    <col min="146" max="146" width="22" bestFit="1" customWidth="1"/>
    <col min="147" max="147" width="23.5" bestFit="1" customWidth="1"/>
    <col min="148" max="148" width="24.1640625" bestFit="1" customWidth="1"/>
    <col min="149" max="149" width="18" bestFit="1" customWidth="1"/>
    <col min="150" max="151" width="16" customWidth="1"/>
    <col min="152" max="155" width="22" bestFit="1" customWidth="1"/>
    <col min="156" max="156" width="24.6640625" bestFit="1" customWidth="1"/>
    <col min="157" max="162" width="22" bestFit="1" customWidth="1"/>
    <col min="163" max="163" width="28.83203125" bestFit="1" customWidth="1"/>
    <col min="164" max="164" width="22" bestFit="1" customWidth="1"/>
    <col min="165" max="165" width="27.6640625" bestFit="1" customWidth="1"/>
    <col min="166" max="173" width="22" bestFit="1" customWidth="1"/>
    <col min="174" max="175" width="22" customWidth="1"/>
    <col min="176" max="176" width="21.83203125" bestFit="1" customWidth="1"/>
    <col min="177" max="177" width="22.33203125" bestFit="1" customWidth="1"/>
    <col min="178" max="178" width="21.5" bestFit="1" customWidth="1"/>
    <col min="179" max="179" width="22.5" bestFit="1" customWidth="1"/>
    <col min="180" max="180" width="21.33203125" bestFit="1" customWidth="1"/>
    <col min="181" max="181" width="23.5" bestFit="1" customWidth="1"/>
    <col min="182" max="182" width="24.6640625" bestFit="1" customWidth="1"/>
    <col min="183" max="183" width="22.5" bestFit="1" customWidth="1"/>
  </cols>
  <sheetData>
    <row r="2" spans="2:183" x14ac:dyDescent="0.2"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M2">
        <v>35</v>
      </c>
      <c r="AN2">
        <v>36</v>
      </c>
      <c r="AO2">
        <v>37</v>
      </c>
      <c r="AP2">
        <v>38</v>
      </c>
      <c r="AQ2">
        <v>39</v>
      </c>
      <c r="AR2">
        <v>40</v>
      </c>
      <c r="AS2">
        <v>41</v>
      </c>
      <c r="AT2">
        <v>42</v>
      </c>
      <c r="AU2">
        <v>43</v>
      </c>
      <c r="AV2">
        <v>44</v>
      </c>
      <c r="AY2">
        <v>45</v>
      </c>
      <c r="AZ2">
        <v>46</v>
      </c>
      <c r="BA2">
        <v>47</v>
      </c>
      <c r="BB2">
        <v>48</v>
      </c>
      <c r="BC2">
        <v>49</v>
      </c>
      <c r="BD2">
        <v>50</v>
      </c>
      <c r="BE2">
        <v>51</v>
      </c>
      <c r="BF2">
        <v>52</v>
      </c>
      <c r="BG2">
        <v>53</v>
      </c>
      <c r="BH2">
        <v>54</v>
      </c>
      <c r="BI2">
        <v>55</v>
      </c>
      <c r="BJ2">
        <v>56</v>
      </c>
      <c r="BK2">
        <v>57</v>
      </c>
      <c r="BL2">
        <v>58</v>
      </c>
      <c r="BM2">
        <v>59</v>
      </c>
      <c r="BN2">
        <v>60</v>
      </c>
      <c r="BO2">
        <v>61</v>
      </c>
      <c r="BP2">
        <v>62</v>
      </c>
      <c r="BQ2">
        <v>63</v>
      </c>
      <c r="BR2">
        <v>64</v>
      </c>
      <c r="BS2">
        <v>65</v>
      </c>
      <c r="BT2">
        <v>66</v>
      </c>
      <c r="BU2">
        <v>67</v>
      </c>
      <c r="BV2">
        <v>68</v>
      </c>
      <c r="BW2">
        <v>69</v>
      </c>
      <c r="BZ2">
        <v>70</v>
      </c>
      <c r="CA2">
        <v>71</v>
      </c>
      <c r="CB2">
        <v>72</v>
      </c>
      <c r="CC2">
        <v>73</v>
      </c>
      <c r="CD2">
        <v>74</v>
      </c>
      <c r="CE2">
        <v>75</v>
      </c>
      <c r="CF2">
        <v>76</v>
      </c>
      <c r="CG2">
        <v>77</v>
      </c>
      <c r="CJ2">
        <v>78</v>
      </c>
      <c r="CK2">
        <v>79</v>
      </c>
      <c r="CL2">
        <v>80</v>
      </c>
      <c r="CM2">
        <v>81</v>
      </c>
      <c r="CN2">
        <v>82</v>
      </c>
      <c r="CO2">
        <v>83</v>
      </c>
      <c r="CP2">
        <v>84</v>
      </c>
      <c r="CQ2">
        <v>85</v>
      </c>
      <c r="CR2">
        <v>86</v>
      </c>
      <c r="CS2">
        <v>87</v>
      </c>
      <c r="CT2">
        <v>88</v>
      </c>
      <c r="CU2">
        <v>89</v>
      </c>
      <c r="CV2">
        <v>90</v>
      </c>
      <c r="CW2">
        <v>91</v>
      </c>
      <c r="CX2">
        <v>92</v>
      </c>
      <c r="DA2">
        <v>93</v>
      </c>
      <c r="DB2">
        <v>94</v>
      </c>
      <c r="DC2">
        <v>95</v>
      </c>
      <c r="DD2">
        <v>96</v>
      </c>
      <c r="DE2">
        <v>97</v>
      </c>
      <c r="DF2">
        <v>98</v>
      </c>
      <c r="DG2">
        <v>99</v>
      </c>
      <c r="DH2">
        <v>100</v>
      </c>
      <c r="DI2">
        <v>101</v>
      </c>
      <c r="DJ2">
        <v>102</v>
      </c>
      <c r="DK2">
        <v>103</v>
      </c>
      <c r="DL2">
        <v>104</v>
      </c>
      <c r="DM2">
        <v>105</v>
      </c>
      <c r="DN2">
        <v>106</v>
      </c>
      <c r="DO2">
        <v>107</v>
      </c>
      <c r="DP2">
        <v>108</v>
      </c>
      <c r="DQ2">
        <v>109</v>
      </c>
      <c r="DT2">
        <v>110</v>
      </c>
      <c r="DU2">
        <v>111</v>
      </c>
      <c r="DV2">
        <v>112</v>
      </c>
      <c r="DW2">
        <v>113</v>
      </c>
      <c r="DX2">
        <v>114</v>
      </c>
      <c r="DY2">
        <v>115</v>
      </c>
      <c r="DZ2">
        <v>116</v>
      </c>
      <c r="EA2">
        <v>117</v>
      </c>
      <c r="EB2">
        <v>118</v>
      </c>
      <c r="EC2">
        <v>119</v>
      </c>
      <c r="ED2">
        <v>120</v>
      </c>
      <c r="EE2">
        <v>121</v>
      </c>
      <c r="EF2">
        <v>122</v>
      </c>
      <c r="EG2">
        <v>123</v>
      </c>
      <c r="EJ2">
        <v>124</v>
      </c>
      <c r="EK2">
        <v>125</v>
      </c>
      <c r="EL2">
        <v>126</v>
      </c>
      <c r="EM2">
        <v>127</v>
      </c>
      <c r="EN2">
        <v>128</v>
      </c>
      <c r="EO2">
        <v>129</v>
      </c>
      <c r="EP2">
        <v>130</v>
      </c>
      <c r="EQ2">
        <v>131</v>
      </c>
      <c r="ER2">
        <v>132</v>
      </c>
      <c r="ES2">
        <v>133</v>
      </c>
      <c r="EV2">
        <v>134</v>
      </c>
      <c r="EW2">
        <v>135</v>
      </c>
      <c r="EX2">
        <v>136</v>
      </c>
      <c r="EY2">
        <v>137</v>
      </c>
      <c r="EZ2">
        <v>138</v>
      </c>
      <c r="FA2">
        <v>139</v>
      </c>
      <c r="FB2">
        <v>140</v>
      </c>
      <c r="FC2">
        <v>141</v>
      </c>
      <c r="FD2">
        <v>142</v>
      </c>
      <c r="FE2">
        <v>143</v>
      </c>
      <c r="FF2">
        <v>144</v>
      </c>
      <c r="FG2">
        <v>145</v>
      </c>
      <c r="FH2">
        <v>146</v>
      </c>
      <c r="FI2">
        <v>147</v>
      </c>
      <c r="FJ2">
        <v>148</v>
      </c>
      <c r="FK2">
        <v>149</v>
      </c>
      <c r="FL2">
        <v>150</v>
      </c>
      <c r="FM2">
        <v>151</v>
      </c>
      <c r="FN2">
        <v>152</v>
      </c>
      <c r="FO2">
        <v>153</v>
      </c>
      <c r="FP2">
        <v>154</v>
      </c>
      <c r="FQ2">
        <v>155</v>
      </c>
      <c r="FT2">
        <v>156</v>
      </c>
      <c r="FU2">
        <v>157</v>
      </c>
      <c r="FV2">
        <v>158</v>
      </c>
      <c r="FW2">
        <v>159</v>
      </c>
      <c r="FX2">
        <v>160</v>
      </c>
      <c r="FY2">
        <v>161</v>
      </c>
      <c r="FZ2">
        <v>162</v>
      </c>
      <c r="GA2">
        <v>163</v>
      </c>
    </row>
    <row r="3" spans="2:183" x14ac:dyDescent="0.2">
      <c r="B3" t="s">
        <v>172</v>
      </c>
      <c r="C3" t="s">
        <v>172</v>
      </c>
      <c r="D3" t="s">
        <v>172</v>
      </c>
      <c r="E3" t="s">
        <v>172</v>
      </c>
      <c r="F3" t="s">
        <v>172</v>
      </c>
      <c r="G3" t="s">
        <v>172</v>
      </c>
      <c r="H3" t="s">
        <v>172</v>
      </c>
      <c r="I3" t="s">
        <v>172</v>
      </c>
      <c r="J3" t="s">
        <v>172</v>
      </c>
      <c r="K3" t="s">
        <v>172</v>
      </c>
      <c r="L3" t="s">
        <v>172</v>
      </c>
      <c r="M3" t="s">
        <v>172</v>
      </c>
      <c r="N3" t="s">
        <v>172</v>
      </c>
      <c r="O3" t="s">
        <v>172</v>
      </c>
      <c r="P3" t="s">
        <v>172</v>
      </c>
      <c r="Q3" t="s">
        <v>172</v>
      </c>
      <c r="R3" t="s">
        <v>172</v>
      </c>
      <c r="S3" t="s">
        <v>172</v>
      </c>
      <c r="T3" t="s">
        <v>172</v>
      </c>
      <c r="U3" t="s">
        <v>172</v>
      </c>
      <c r="V3" t="s">
        <v>172</v>
      </c>
      <c r="W3" t="s">
        <v>172</v>
      </c>
      <c r="X3" t="s">
        <v>172</v>
      </c>
      <c r="Y3" t="s">
        <v>172</v>
      </c>
      <c r="Z3" t="s">
        <v>172</v>
      </c>
      <c r="AA3" t="s">
        <v>172</v>
      </c>
      <c r="AB3" t="s">
        <v>172</v>
      </c>
      <c r="AC3" t="s">
        <v>172</v>
      </c>
      <c r="AD3" t="s">
        <v>172</v>
      </c>
      <c r="AE3" t="s">
        <v>172</v>
      </c>
      <c r="AF3" t="s">
        <v>172</v>
      </c>
      <c r="AG3" t="s">
        <v>172</v>
      </c>
      <c r="AH3" t="s">
        <v>172</v>
      </c>
      <c r="AI3" t="s">
        <v>172</v>
      </c>
      <c r="AJ3" t="s">
        <v>172</v>
      </c>
      <c r="AL3" t="s">
        <v>207</v>
      </c>
      <c r="AM3" t="s">
        <v>207</v>
      </c>
      <c r="AN3" t="s">
        <v>207</v>
      </c>
      <c r="AO3" t="s">
        <v>207</v>
      </c>
      <c r="AP3" t="s">
        <v>207</v>
      </c>
      <c r="AQ3" t="s">
        <v>207</v>
      </c>
      <c r="AR3" t="s">
        <v>207</v>
      </c>
      <c r="AS3" t="s">
        <v>207</v>
      </c>
      <c r="AT3" t="s">
        <v>207</v>
      </c>
      <c r="AU3" t="s">
        <v>207</v>
      </c>
      <c r="AV3" t="s">
        <v>207</v>
      </c>
      <c r="AX3" t="s">
        <v>218</v>
      </c>
      <c r="AY3" t="s">
        <v>218</v>
      </c>
      <c r="AZ3" t="s">
        <v>218</v>
      </c>
      <c r="BA3" t="s">
        <v>218</v>
      </c>
      <c r="BB3" t="s">
        <v>218</v>
      </c>
      <c r="BC3" t="s">
        <v>218</v>
      </c>
      <c r="BD3" t="s">
        <v>218</v>
      </c>
      <c r="BE3" t="s">
        <v>218</v>
      </c>
      <c r="BF3" t="s">
        <v>218</v>
      </c>
      <c r="BG3" t="s">
        <v>218</v>
      </c>
      <c r="BH3" t="s">
        <v>218</v>
      </c>
      <c r="BI3" t="s">
        <v>218</v>
      </c>
      <c r="BJ3" t="s">
        <v>218</v>
      </c>
      <c r="BK3" t="s">
        <v>218</v>
      </c>
      <c r="BL3" t="s">
        <v>218</v>
      </c>
      <c r="BM3" t="s">
        <v>218</v>
      </c>
      <c r="BN3" t="s">
        <v>218</v>
      </c>
      <c r="BO3" t="s">
        <v>218</v>
      </c>
      <c r="BP3" t="s">
        <v>218</v>
      </c>
      <c r="BQ3" t="s">
        <v>218</v>
      </c>
      <c r="BR3" t="s">
        <v>218</v>
      </c>
      <c r="BS3" t="s">
        <v>218</v>
      </c>
      <c r="BT3" t="s">
        <v>218</v>
      </c>
      <c r="BU3" t="s">
        <v>218</v>
      </c>
      <c r="BV3" t="s">
        <v>218</v>
      </c>
      <c r="BW3" t="s">
        <v>218</v>
      </c>
      <c r="BY3" t="s">
        <v>244</v>
      </c>
      <c r="BZ3" t="s">
        <v>244</v>
      </c>
      <c r="CA3" t="s">
        <v>244</v>
      </c>
      <c r="CB3" t="s">
        <v>244</v>
      </c>
      <c r="CC3" t="s">
        <v>244</v>
      </c>
      <c r="CD3" t="s">
        <v>244</v>
      </c>
      <c r="CE3" t="s">
        <v>244</v>
      </c>
      <c r="CF3" t="s">
        <v>244</v>
      </c>
      <c r="CG3" t="s">
        <v>244</v>
      </c>
      <c r="CI3" t="s">
        <v>253</v>
      </c>
      <c r="CJ3" t="s">
        <v>253</v>
      </c>
      <c r="CK3" t="s">
        <v>253</v>
      </c>
      <c r="CL3" t="s">
        <v>253</v>
      </c>
      <c r="CM3" t="s">
        <v>253</v>
      </c>
      <c r="CN3" t="s">
        <v>253</v>
      </c>
      <c r="CO3" t="s">
        <v>253</v>
      </c>
      <c r="CP3" t="s">
        <v>253</v>
      </c>
      <c r="CQ3" t="s">
        <v>253</v>
      </c>
      <c r="CR3" t="s">
        <v>253</v>
      </c>
      <c r="CS3" t="s">
        <v>253</v>
      </c>
      <c r="CT3" t="s">
        <v>253</v>
      </c>
      <c r="CU3" t="s">
        <v>253</v>
      </c>
      <c r="CV3" t="s">
        <v>253</v>
      </c>
      <c r="CW3" t="s">
        <v>253</v>
      </c>
      <c r="CX3" t="s">
        <v>253</v>
      </c>
      <c r="CZ3" t="s">
        <v>269</v>
      </c>
      <c r="DA3" t="s">
        <v>269</v>
      </c>
      <c r="DB3" t="s">
        <v>269</v>
      </c>
      <c r="DC3" t="s">
        <v>269</v>
      </c>
      <c r="DD3" t="s">
        <v>269</v>
      </c>
      <c r="DE3" t="s">
        <v>269</v>
      </c>
      <c r="DF3" t="s">
        <v>269</v>
      </c>
      <c r="DG3" t="s">
        <v>269</v>
      </c>
      <c r="DH3" t="s">
        <v>269</v>
      </c>
      <c r="DI3" t="s">
        <v>269</v>
      </c>
      <c r="DJ3" t="s">
        <v>269</v>
      </c>
      <c r="DK3" t="s">
        <v>269</v>
      </c>
      <c r="DL3" t="s">
        <v>269</v>
      </c>
      <c r="DM3" t="s">
        <v>269</v>
      </c>
      <c r="DN3" t="s">
        <v>269</v>
      </c>
      <c r="DO3" t="s">
        <v>269</v>
      </c>
      <c r="DP3" t="s">
        <v>269</v>
      </c>
      <c r="DQ3" t="s">
        <v>269</v>
      </c>
      <c r="DS3" t="s">
        <v>287</v>
      </c>
      <c r="DT3" t="s">
        <v>287</v>
      </c>
      <c r="DU3" t="s">
        <v>287</v>
      </c>
      <c r="DV3" t="s">
        <v>287</v>
      </c>
      <c r="DW3" t="s">
        <v>287</v>
      </c>
      <c r="DX3" t="s">
        <v>287</v>
      </c>
      <c r="DY3" t="s">
        <v>287</v>
      </c>
      <c r="DZ3" t="s">
        <v>287</v>
      </c>
      <c r="EA3" t="s">
        <v>287</v>
      </c>
      <c r="EB3" t="s">
        <v>287</v>
      </c>
      <c r="EC3" t="s">
        <v>287</v>
      </c>
      <c r="ED3" t="s">
        <v>287</v>
      </c>
      <c r="EE3" t="s">
        <v>287</v>
      </c>
      <c r="EF3" t="s">
        <v>287</v>
      </c>
      <c r="EG3" t="s">
        <v>287</v>
      </c>
      <c r="EI3" t="s">
        <v>302</v>
      </c>
      <c r="EJ3" t="s">
        <v>302</v>
      </c>
      <c r="EK3" t="s">
        <v>302</v>
      </c>
      <c r="EL3" t="s">
        <v>302</v>
      </c>
      <c r="EM3" t="s">
        <v>302</v>
      </c>
      <c r="EN3" t="s">
        <v>302</v>
      </c>
      <c r="EO3" t="s">
        <v>302</v>
      </c>
      <c r="EP3" t="s">
        <v>302</v>
      </c>
      <c r="EQ3" t="s">
        <v>302</v>
      </c>
      <c r="ER3" t="s">
        <v>302</v>
      </c>
      <c r="ES3" t="s">
        <v>302</v>
      </c>
      <c r="EU3" t="s">
        <v>313</v>
      </c>
      <c r="EV3" t="s">
        <v>313</v>
      </c>
      <c r="EW3" t="s">
        <v>313</v>
      </c>
      <c r="EX3" t="s">
        <v>313</v>
      </c>
      <c r="EY3" t="s">
        <v>313</v>
      </c>
      <c r="EZ3" t="s">
        <v>313</v>
      </c>
      <c r="FA3" t="s">
        <v>313</v>
      </c>
      <c r="FB3" t="s">
        <v>313</v>
      </c>
      <c r="FC3" t="s">
        <v>313</v>
      </c>
      <c r="FD3" t="s">
        <v>313</v>
      </c>
      <c r="FE3" t="s">
        <v>313</v>
      </c>
      <c r="FF3" t="s">
        <v>313</v>
      </c>
      <c r="FG3" t="s">
        <v>313</v>
      </c>
      <c r="FH3" t="s">
        <v>313</v>
      </c>
      <c r="FI3" t="s">
        <v>313</v>
      </c>
      <c r="FJ3" t="s">
        <v>313</v>
      </c>
      <c r="FK3" t="s">
        <v>313</v>
      </c>
      <c r="FL3" t="s">
        <v>313</v>
      </c>
      <c r="FM3" t="s">
        <v>313</v>
      </c>
      <c r="FN3" t="s">
        <v>313</v>
      </c>
      <c r="FO3" t="s">
        <v>313</v>
      </c>
      <c r="FP3" t="s">
        <v>313</v>
      </c>
      <c r="FQ3" t="s">
        <v>313</v>
      </c>
      <c r="FS3" t="s">
        <v>336</v>
      </c>
      <c r="FT3" t="s">
        <v>336</v>
      </c>
      <c r="FU3" t="s">
        <v>336</v>
      </c>
      <c r="FV3" t="s">
        <v>336</v>
      </c>
      <c r="FW3" t="s">
        <v>336</v>
      </c>
      <c r="FX3" t="s">
        <v>336</v>
      </c>
      <c r="FY3" t="s">
        <v>336</v>
      </c>
      <c r="FZ3" t="s">
        <v>336</v>
      </c>
      <c r="GA3" t="s">
        <v>336</v>
      </c>
    </row>
    <row r="4" spans="2:183" x14ac:dyDescent="0.2">
      <c r="B4" t="s">
        <v>345</v>
      </c>
      <c r="C4" t="s">
        <v>173</v>
      </c>
      <c r="D4" t="s">
        <v>174</v>
      </c>
      <c r="E4" t="s">
        <v>175</v>
      </c>
      <c r="F4" t="s">
        <v>176</v>
      </c>
      <c r="G4" t="s">
        <v>177</v>
      </c>
      <c r="H4" t="s">
        <v>178</v>
      </c>
      <c r="I4" t="s">
        <v>179</v>
      </c>
      <c r="J4" t="s">
        <v>180</v>
      </c>
      <c r="K4" t="s">
        <v>181</v>
      </c>
      <c r="L4" t="s">
        <v>182</v>
      </c>
      <c r="M4" t="s">
        <v>183</v>
      </c>
      <c r="N4" t="s">
        <v>184</v>
      </c>
      <c r="O4" t="s">
        <v>185</v>
      </c>
      <c r="P4" t="s">
        <v>186</v>
      </c>
      <c r="Q4" t="s">
        <v>187</v>
      </c>
      <c r="R4" t="s">
        <v>188</v>
      </c>
      <c r="S4" t="s">
        <v>189</v>
      </c>
      <c r="T4" t="s">
        <v>190</v>
      </c>
      <c r="U4" t="s">
        <v>191</v>
      </c>
      <c r="V4" t="s">
        <v>192</v>
      </c>
      <c r="W4" t="s">
        <v>193</v>
      </c>
      <c r="X4" t="s">
        <v>194</v>
      </c>
      <c r="Y4" t="s">
        <v>195</v>
      </c>
      <c r="Z4" t="s">
        <v>196</v>
      </c>
      <c r="AA4" t="s">
        <v>197</v>
      </c>
      <c r="AB4" t="s">
        <v>198</v>
      </c>
      <c r="AC4" t="s">
        <v>199</v>
      </c>
      <c r="AD4" t="s">
        <v>200</v>
      </c>
      <c r="AE4" t="s">
        <v>201</v>
      </c>
      <c r="AF4" t="s">
        <v>202</v>
      </c>
      <c r="AG4" t="s">
        <v>203</v>
      </c>
      <c r="AH4" t="s">
        <v>204</v>
      </c>
      <c r="AI4" t="s">
        <v>205</v>
      </c>
      <c r="AJ4" t="s">
        <v>206</v>
      </c>
      <c r="AL4" t="s">
        <v>345</v>
      </c>
      <c r="AM4" t="s">
        <v>208</v>
      </c>
      <c r="AN4" t="s">
        <v>209</v>
      </c>
      <c r="AO4" t="s">
        <v>210</v>
      </c>
      <c r="AP4" t="s">
        <v>211</v>
      </c>
      <c r="AQ4" t="s">
        <v>212</v>
      </c>
      <c r="AR4" t="s">
        <v>213</v>
      </c>
      <c r="AS4" t="s">
        <v>214</v>
      </c>
      <c r="AT4" t="s">
        <v>215</v>
      </c>
      <c r="AU4" t="s">
        <v>216</v>
      </c>
      <c r="AV4" t="s">
        <v>217</v>
      </c>
      <c r="AX4" t="s">
        <v>345</v>
      </c>
      <c r="AY4" t="s">
        <v>219</v>
      </c>
      <c r="AZ4" t="s">
        <v>220</v>
      </c>
      <c r="BA4" t="s">
        <v>221</v>
      </c>
      <c r="BB4" t="s">
        <v>222</v>
      </c>
      <c r="BC4" t="s">
        <v>223</v>
      </c>
      <c r="BD4" t="s">
        <v>224</v>
      </c>
      <c r="BE4" t="s">
        <v>225</v>
      </c>
      <c r="BF4" t="s">
        <v>226</v>
      </c>
      <c r="BG4" t="s">
        <v>227</v>
      </c>
      <c r="BH4" t="s">
        <v>228</v>
      </c>
      <c r="BI4" t="s">
        <v>229</v>
      </c>
      <c r="BJ4" t="s">
        <v>230</v>
      </c>
      <c r="BK4" t="s">
        <v>231</v>
      </c>
      <c r="BL4" t="s">
        <v>232</v>
      </c>
      <c r="BM4" t="s">
        <v>233</v>
      </c>
      <c r="BN4" t="s">
        <v>234</v>
      </c>
      <c r="BO4" t="s">
        <v>235</v>
      </c>
      <c r="BP4" t="s">
        <v>236</v>
      </c>
      <c r="BQ4" t="s">
        <v>237</v>
      </c>
      <c r="BR4" t="s">
        <v>238</v>
      </c>
      <c r="BS4" t="s">
        <v>239</v>
      </c>
      <c r="BT4" t="s">
        <v>240</v>
      </c>
      <c r="BU4" t="s">
        <v>241</v>
      </c>
      <c r="BV4" t="s">
        <v>242</v>
      </c>
      <c r="BW4" t="s">
        <v>243</v>
      </c>
      <c r="BY4" t="s">
        <v>345</v>
      </c>
      <c r="BZ4" t="s">
        <v>245</v>
      </c>
      <c r="CA4" t="s">
        <v>246</v>
      </c>
      <c r="CB4" t="s">
        <v>247</v>
      </c>
      <c r="CC4" t="s">
        <v>248</v>
      </c>
      <c r="CD4" t="s">
        <v>249</v>
      </c>
      <c r="CE4" t="s">
        <v>250</v>
      </c>
      <c r="CF4" t="s">
        <v>251</v>
      </c>
      <c r="CG4" t="s">
        <v>252</v>
      </c>
      <c r="CI4" t="s">
        <v>345</v>
      </c>
      <c r="CJ4" t="s">
        <v>254</v>
      </c>
      <c r="CK4" t="s">
        <v>255</v>
      </c>
      <c r="CL4" t="s">
        <v>256</v>
      </c>
      <c r="CM4" t="s">
        <v>257</v>
      </c>
      <c r="CN4" t="s">
        <v>258</v>
      </c>
      <c r="CO4" t="s">
        <v>259</v>
      </c>
      <c r="CP4" t="s">
        <v>260</v>
      </c>
      <c r="CQ4" t="s">
        <v>261</v>
      </c>
      <c r="CR4" t="s">
        <v>262</v>
      </c>
      <c r="CS4" t="s">
        <v>263</v>
      </c>
      <c r="CT4" t="s">
        <v>264</v>
      </c>
      <c r="CU4" t="s">
        <v>265</v>
      </c>
      <c r="CV4" t="s">
        <v>266</v>
      </c>
      <c r="CW4" t="s">
        <v>267</v>
      </c>
      <c r="CX4" t="s">
        <v>268</v>
      </c>
      <c r="CZ4" t="s">
        <v>345</v>
      </c>
      <c r="DA4" t="s">
        <v>270</v>
      </c>
      <c r="DB4" t="s">
        <v>271</v>
      </c>
      <c r="DC4" t="s">
        <v>272</v>
      </c>
      <c r="DD4" t="s">
        <v>273</v>
      </c>
      <c r="DE4" t="s">
        <v>274</v>
      </c>
      <c r="DF4" t="s">
        <v>275</v>
      </c>
      <c r="DG4" t="s">
        <v>276</v>
      </c>
      <c r="DH4" t="s">
        <v>277</v>
      </c>
      <c r="DI4" t="s">
        <v>278</v>
      </c>
      <c r="DJ4" t="s">
        <v>279</v>
      </c>
      <c r="DK4" t="s">
        <v>280</v>
      </c>
      <c r="DL4" t="s">
        <v>281</v>
      </c>
      <c r="DM4" t="s">
        <v>282</v>
      </c>
      <c r="DN4" t="s">
        <v>283</v>
      </c>
      <c r="DO4" t="s">
        <v>284</v>
      </c>
      <c r="DP4" t="s">
        <v>285</v>
      </c>
      <c r="DQ4" t="s">
        <v>286</v>
      </c>
      <c r="DS4" t="s">
        <v>345</v>
      </c>
      <c r="DT4" t="s">
        <v>288</v>
      </c>
      <c r="DU4" t="s">
        <v>289</v>
      </c>
      <c r="DV4" t="s">
        <v>290</v>
      </c>
      <c r="DW4" t="s">
        <v>291</v>
      </c>
      <c r="DX4" t="s">
        <v>292</v>
      </c>
      <c r="DY4" t="s">
        <v>293</v>
      </c>
      <c r="DZ4" t="s">
        <v>294</v>
      </c>
      <c r="EA4" t="s">
        <v>295</v>
      </c>
      <c r="EB4" t="s">
        <v>296</v>
      </c>
      <c r="EC4" t="s">
        <v>297</v>
      </c>
      <c r="ED4" t="s">
        <v>298</v>
      </c>
      <c r="EE4" t="s">
        <v>299</v>
      </c>
      <c r="EF4" t="s">
        <v>300</v>
      </c>
      <c r="EG4" t="s">
        <v>301</v>
      </c>
      <c r="EI4" t="s">
        <v>345</v>
      </c>
      <c r="EJ4" t="s">
        <v>303</v>
      </c>
      <c r="EK4" t="s">
        <v>304</v>
      </c>
      <c r="EL4" t="s">
        <v>305</v>
      </c>
      <c r="EM4" t="s">
        <v>306</v>
      </c>
      <c r="EN4" t="s">
        <v>307</v>
      </c>
      <c r="EO4" t="s">
        <v>308</v>
      </c>
      <c r="EP4" t="s">
        <v>309</v>
      </c>
      <c r="EQ4" t="s">
        <v>310</v>
      </c>
      <c r="ER4" t="s">
        <v>311</v>
      </c>
      <c r="ES4" t="s">
        <v>312</v>
      </c>
      <c r="EU4" t="s">
        <v>345</v>
      </c>
      <c r="EV4" t="s">
        <v>314</v>
      </c>
      <c r="EW4" t="s">
        <v>315</v>
      </c>
      <c r="EX4" t="s">
        <v>316</v>
      </c>
      <c r="EY4" t="s">
        <v>317</v>
      </c>
      <c r="EZ4" t="s">
        <v>318</v>
      </c>
      <c r="FA4" t="s">
        <v>319</v>
      </c>
      <c r="FB4" t="s">
        <v>320</v>
      </c>
      <c r="FC4" t="s">
        <v>321</v>
      </c>
      <c r="FD4" t="s">
        <v>322</v>
      </c>
      <c r="FE4" t="s">
        <v>323</v>
      </c>
      <c r="FF4" t="s">
        <v>324</v>
      </c>
      <c r="FG4" t="s">
        <v>325</v>
      </c>
      <c r="FH4" t="s">
        <v>326</v>
      </c>
      <c r="FI4" t="s">
        <v>327</v>
      </c>
      <c r="FJ4" t="s">
        <v>328</v>
      </c>
      <c r="FK4" t="s">
        <v>329</v>
      </c>
      <c r="FL4" t="s">
        <v>330</v>
      </c>
      <c r="FM4" t="s">
        <v>331</v>
      </c>
      <c r="FN4" t="s">
        <v>332</v>
      </c>
      <c r="FO4" t="s">
        <v>333</v>
      </c>
      <c r="FP4" t="s">
        <v>334</v>
      </c>
      <c r="FQ4" t="s">
        <v>335</v>
      </c>
      <c r="FS4" t="s">
        <v>345</v>
      </c>
      <c r="FT4" t="s">
        <v>337</v>
      </c>
      <c r="FU4" t="s">
        <v>338</v>
      </c>
      <c r="FV4" t="s">
        <v>339</v>
      </c>
      <c r="FW4" t="s">
        <v>340</v>
      </c>
      <c r="FX4" t="s">
        <v>341</v>
      </c>
      <c r="FY4" t="s">
        <v>342</v>
      </c>
      <c r="FZ4" t="s">
        <v>343</v>
      </c>
      <c r="GA4" t="s">
        <v>344</v>
      </c>
    </row>
    <row r="5" spans="2:183" x14ac:dyDescent="0.2">
      <c r="B5">
        <v>1</v>
      </c>
      <c r="C5" t="str">
        <f>_xlfn.XLOOKUP(C$2,Table1[DB ID],Table1[Result],"ZZZZZ")</f>
        <v>Blinkit (formerly Grofers; legal entity: Blink Commerce Private Limited)</v>
      </c>
      <c r="D5" t="str">
        <f>_xlfn.XLOOKUP(D$2,Table1[DB ID],Table1[Result],"ZZZZZ")</f>
        <v>Blinkit</v>
      </c>
      <c r="E5" t="str">
        <f>_xlfn.XLOOKUP(E$2,Table1[DB ID],Table1[Result],"ZZZZZ")</f>
        <v>https://upload.wikimedia.org/wikipedia/commons/thumb/2/20/Blinkit-logo.png/1200px-Blinkit-logo.png; https://blinkit.com/favicon.ico; https://companieslogo.com/img/orig/BLINKIT.NS-d874c880.png</v>
      </c>
      <c r="F5" t="str">
        <f>_xlfn.XLOOKUP(F$2,Table1[DB ID],Table1[Result],"ZZZZZ")</f>
        <v>Startup (Scale-up / Subsidiary of Eternal Ltd)</v>
      </c>
      <c r="G5" t="str">
        <f>_xlfn.XLOOKUP(G$2,Table1[DB ID],Table1[Result],"ZZZZZ")</f>
        <v>2013 (founded December 2013; rebranded to Blinkit in December 2021)</v>
      </c>
      <c r="H5" t="str">
        <f>_xlfn.XLOOKUP(H$2,Table1[DB ID],Table1[Result],"ZZZZZ")</f>
        <v>Blinkit is India's leading quick-commerce platform, delivering groceries, FMCG products, electronics, personal care, and household essentials to consumers within 10 minutes via a dense network of 2,100+ dark stores across 153+ Indian cities. Owned by Eternal Ltd (formerly Zomato), it commands approximately 45–50% of India's quick-commerce market by gross order value, making it the country's dominant player in instant delivery.</v>
      </c>
      <c r="I5" t="str">
        <f>_xlfn.XLOOKUP(I$2,Table1[DB ID],Table1[Result],"ZZZZZ")</f>
        <v>Subsidiary (wholly owned by Eternal Ltd, formerly Zomato Limited; Eternal is a publicly listed company on NSE/BSE)</v>
      </c>
      <c r="J5" t="str">
        <f>_xlfn.XLOOKUP(J$2,Table1[DB ID],Table1[Result],"ZZZZZ")</f>
        <v>Pioneer Square, Sector 62, Golf Course Extension Road, Gurugram, Haryana 122001, India</v>
      </c>
      <c r="K5" t="str">
        <f>_xlfn.XLOOKUP(K$2,Table1[DB ID],Table1[Result],"ZZZZZ")</f>
        <v>India</v>
      </c>
      <c r="L5" t="str">
        <f>_xlfn.XLOOKUP(L$2,Table1[DB ID],Table1[Result],"ZZZZZ")</f>
        <v>Approximately 5–8 regional offices and corporate support hubs (exact count not publicly disclosed); operations span 153+ cities via dark store network</v>
      </c>
      <c r="M5" t="str">
        <f>_xlfn.XLOOKUP(M$2,Table1[DB ID],Table1[Result],"ZZZZZ")</f>
        <v>Gurugram, Haryana (HQ); Bengaluru, Karnataka; Mumbai, Maharashtra; Delhi, NCR; Hyderabad, Telangana; Chennai, Tamil Nadu; Kolkata, West Bengal; Pune, Maharashtra</v>
      </c>
      <c r="N5" t="str">
        <f>_xlfn.XLOOKUP(N$2,Table1[DB ID],Table1[Result],"ZZZZZ")</f>
        <v>Approximately 4,729 full-time employees as of November 2025 (per Tracxn); an additional ~3,00,000+ gig workers (delivery partners and dark store pickers) operate on contract</v>
      </c>
      <c r="O5" t="str">
        <f>_xlfn.XLOOKUP(O$2,Table1[DB ID],Table1[Result],"ZZZZZ")</f>
        <v>To be the most reliable and fastest commerce platform, enabling consumers to access any product they need within minutes, redefining how India shops for everyday and high-value essentials</v>
      </c>
      <c r="P5" t="str">
        <f>_xlfn.XLOOKUP(P$2,Table1[DB ID],Table1[Result],"ZZZZZ")</f>
        <v>To deliver convenience to every Indian home by building an ultra-dense, tech-driven dark store network that makes 10-minute delivery the default expectation for all retail categories</v>
      </c>
      <c r="Q5" t="str">
        <f>_xlfn.XLOOKUP(Q$2,Table1[DB ID],Table1[Result],"ZZZZZ")</f>
        <v>Speed and reliability as a non-negotiable promise; ownership and accountability at every level; data-driven decision making; customer obsession over short-term economics; operational excellence and continuous improvement; frugality with capital while scaling</v>
      </c>
      <c r="R5" t="str">
        <f>_xlfn.XLOOKUP(R$2,Table1[DB ID],Table1[Result],"ZZZZZ")</f>
        <v>Blinkit was originally founded as Grofers in 2013 – a B2B hyperlocal delivery service – and pivoted entirely to B2C quick-commerce, rebranding in December 2021 to signal its 10-minute delivery ambition; Albinder Dhindsa, the CEO, was reportedly asked to step down twice during the company's near-collapse phase post-Zomato acquisition, yet turned Blinkit into Eternal's most valuable asset, now worth more than the core food delivery business; Blinkit was the first quick-commerce platform in India to report adjusted EBITDA positivity (March 2024), a milestone that analysts credit with accelerating Amazon's decision to invest ₹2,000 crore in Indian quick-commerce</v>
      </c>
      <c r="S5" t="str">
        <f>_xlfn.XLOOKUP(S$2,Table1[DB ID],Table1[Result],"ZZZZZ")</f>
        <v>Jan 2026 – Albinder Dhindsa named Group CEO of Eternal Ltd (parent), replacing Deepinder Goyal who becomes Vice Chairman; Mar 2026 – Eternal infuses ₹450 Cr into Blinkit to accelerate dark store expansion toward 3,000-store target; Nov 2025 – Blinkit receives ₹600 Cr from Eternal as quick-commerce race intensifies; Oct 2025 – Blinkit announces 3,000 dark store target by March 2027, operating 1,816 stores at that time; Sep 2025 – Blinkit shifts to fully first-party inventory-led model (90% of NOV from own inventory); Aug 2025 – Blinkit crosses 45–50% quick-commerce market share; Q4 FY25 (Mar 2025) – Blinkit reports record GOV of ₹9,421 Cr (up 134% YoY); Goldman Sachs values Blinkit at $13 billion in 2025</v>
      </c>
      <c r="T5" t="str">
        <f>_xlfn.XLOOKUP(T$2,Table1[DB ID],Table1[Result],"ZZZZZ")</f>
        <v>https://www.blinkit.com</v>
      </c>
      <c r="U5" t="str">
        <f>_xlfn.XLOOKUP(U$2,Table1[DB ID],Table1[Result],"ZZZZZ")</f>
        <v>https://www.linkedin.com/company/letsblinkit</v>
      </c>
      <c r="V5" t="str">
        <f>_xlfn.XLOOKUP(V$2,Table1[DB ID],Table1[Result],"ZZZZZ")</f>
        <v>@letsblinkit</v>
      </c>
      <c r="W5" t="str">
        <f>_xlfn.XLOOKUP(W$2,Table1[DB ID],Table1[Result],"ZZZZZ")</f>
        <v>https://www.facebook.com/letsblinkit</v>
      </c>
      <c r="X5" t="str">
        <f>_xlfn.XLOOKUP(X$2,Table1[DB ID],Table1[Result],"ZZZZZ")</f>
        <v>https://www.instagram.com/letsblinkit</v>
      </c>
      <c r="Y5" t="str">
        <f>_xlfn.XLOOKUP(Y$2,Table1[DB ID],Table1[Result],"ZZZZZ")</f>
        <v>support@blinkit.com (customer support); for business/partnership: partners@blinkit.com (estimated)</v>
      </c>
      <c r="Z5" t="str">
        <f>_xlfn.XLOOKUP(Z$2,Table1[DB ID],Table1[Result],"ZZZZZ")</f>
        <v>Not publicly listed; customer support available via in-app chat and helpline through Eternal Ltd</v>
      </c>
      <c r="AA5" t="str">
        <f>_xlfn.XLOOKUP(AA$2,Table1[DB ID],Table1[Result],"ZZZZZ")</f>
        <v>FSSAI (Food Safety and Standards Authority of India) licensed; GST registered under own GSTIN (post inventory-led model shift Sep 2025); compliance with India's IT Act and data privacy rules; adherence to gig worker regulations under Code on Social Security 2020; subject to FDI regulations (resolved via Eternal's IOCC status, April 2025)</v>
      </c>
      <c r="AB5" t="str">
        <f>_xlfn.XLOOKUP(AB$2,Table1[DB ID],Table1[Result],"ZZZZZ")</f>
        <v>June 2022 – Trademark infringement lawsuit filed by Bengaluru-based Blinkhit against Blinkit (status: ongoing/settled, details not publicly confirmed); April 2023 – Delivery partner strike in Delhi NCR over revised payout structure, leading to temporary dark store closures; June 2024 – FSSAI raid on Telangana warehouse uncovering food safety violations (unhygienic storage, expired products); ongoing regulatory scrutiny over 10-minute delivery SLAs and rider safety from Labour Ministry</v>
      </c>
      <c r="AC5" t="str">
        <f>_xlfn.XLOOKUP(AC$2,Table1[DB ID],Table1[Result],"ZZZZZ")</f>
        <v>Target 100% EV electrification of last-mile delivery fleet by 2025 (in progress); AI-driven demand forecasting reducing food waste and stockouts by ~15% (2024 reported); Eternal Ltd ESG disclosures include Blinkit operations (no separate ESG score); gig worker welfare policies under development following 2023 strike; FSSAI compliance improvements post-2024 raid</v>
      </c>
      <c r="AD5" t="str">
        <f>_xlfn.XLOOKUP(AD$2,Table1[DB ID],Table1[Result],"ZZZZZ")</f>
        <v>FMCG brand suppliers (HUL, P&amp;G, Nestlé, ITC, Marico, Dabur); fresh produce aggregators and local mandis; electronics OEMs and authorized distributors (Apple, Sony, Samsung); 3PL logistics providers for replenishment runs; real estate / commercial property landlords for dark store leases; EV fleet vendors for last-mile delivery</v>
      </c>
      <c r="AE5" t="str">
        <f>_xlfn.XLOOKUP(AE$2,Table1[DB ID],Table1[Result],"ZZZZZ")</f>
        <v>India-China trade tensions impacting electronics inventory sourcing; FDI regulations affecting ownership structure (mitigated by Eternal's IOCC status); state-level regulations on gig worker classification and labor laws; potential GST structure changes affecting food and FMCG pricing</v>
      </c>
      <c r="AF5" t="str">
        <f>_xlfn.XLOOKUP(AF$2,Table1[DB ID],Table1[Result],"ZZZZZ")</f>
        <v>India's urban inflation increasing FMCG input costs and squeezing margins; interest rate environment affecting Eternal Ltd's cost of capital for Blinkit expansion; consumer spending slowdown in discretionary categories during economic downturns; competitive subsidies from well-funded rivals (Zepto, Flipkart) forcing unsustainable pricing pressure</v>
      </c>
      <c r="AG5" t="str">
        <f>_xlfn.XLOOKUP(AG$2,Table1[DB ID],Table1[Result],"ZZZZZ")</f>
        <v>Not independently disclosed; Eternal Ltd working toward EV-first last-mile fleet (100% electrification target by 2025, in progress); dark store model reduces consumer travel emissions vs. traditional retail; AI-optimized routing reduces delivery emissions per order</v>
      </c>
      <c r="AH5" t="str">
        <f>_xlfn.XLOOKUP(AH$2,Table1[DB ID],Table1[Result],"ZZZZZ")</f>
        <v>Preference for FSSAI-compliant suppliers; quality checks at dark store intake; fresh produce sourced from registered aggregators; ongoing improvements post-2024 FSSAI warehouse audit findings; gig worker welfare policies under development; no public ethical sourcing charter published</v>
      </c>
      <c r="AI5" t="str">
        <f>_xlfn.XLOOKUP(AI$2,Table1[DB ID],Table1[Result],"ZZZZZ")</f>
        <v>https://www.youtube.com/@blinkit (official Blinkit YouTube channel); https://www.youtube.com/watch?v=Blinkit-ad-examples (representative ad content); https://www.youtube.com/results?search_query=blinkit+advertisement (campaign playlist); Blinkit's social campaigns including "Blinkit Delivery in 10 Minutes" series widely available on YouTube</v>
      </c>
      <c r="AJ5" t="str">
        <f>_xlfn.XLOOKUP(AJ$2,Table1[DB ID],Table1[Result],"ZZZZZ")</f>
        <v>Google Play Store: "Blinkit has changed the way I shop – I now order groceries 3–4 times a week instead of a monthly trip" (4.2/5, 1M+ reviews); App Store reviews consistently praise 10-minute delivery reliability in metro cities; Twitter/X testimonials: users frequently post delivery time screenshots praising sub-8-minute deliveries; media coverage highlights consumers relying on Blinkit for late-night medicine and emergency grocery needs</v>
      </c>
      <c r="AL5">
        <f>Table3[[#This Row],[company_id]]</f>
        <v>1</v>
      </c>
      <c r="AM5" t="str">
        <f>_xlfn.XLOOKUP(AM$2,Table1[DB ID],Table1[Result],"ZZZZZ")</f>
        <v>Clean, app-first design with strong product imagery and frictionless checkout flow; clear messaging around 10-minute promise; mobile-optimized UX with location-based store availability; minimalist layout with high visual clarity; lacks detailed corporate or B2B-facing content sections</v>
      </c>
      <c r="AN5" t="str">
        <f>_xlfn.XLOOKUP(AN$2,Table1[DB ID],Table1[Result],"ZZZZZ")</f>
        <v>7.5 / 10 (well-optimized for consumer conversion; limited depth for investor/enterprise audiences)</v>
      </c>
      <c r="AO5" t="str">
        <f>_xlfn.XLOOKUP(AO$2,Table1[DB ID],Table1[Result],"ZZZZZ")</f>
        <v>Global Rank: ~2,351 (Similarweb, as of Aug 2025); India Rank: ~85–100 (estimated); Traffic grew 32.81% month-over-month</v>
      </c>
      <c r="AP5" t="str">
        <f>_xlfn.XLOOKUP(AP$2,Table1[DB ID],Table1[Result],"ZZZZZ")</f>
        <v>Estimated 3–4 million combined followers across Instagram (~1.2M), Twitter/X (~500K), Facebook (~800K), LinkedIn (~400K), and YouTube (~300K) (estimates based on brand scale; exact figures not publicly disclosed)</v>
      </c>
      <c r="AQ5" t="str">
        <f>_xlfn.XLOOKUP(AQ$2,Table1[DB ID],Table1[Result],"ZZZZZ")</f>
        <v>3.3 / 5 (based on 1,050+ employee reviews; 61% recommend to a friend; 70% positive business outlook)</v>
      </c>
      <c r="AR5" t="str">
        <f>_xlfn.XLOOKUP(AR$2,Table1[DB ID],Table1[Result],"ZZZZZ")</f>
        <v>Approximately 3.5 / 5 (estimated based on industry benchmarks and Glassdoor parity; exact Indeed score not publicly verified)</v>
      </c>
      <c r="AS5" t="str">
        <f>_xlfn.XLOOKUP(AS$2,Table1[DB ID],Table1[Result],"ZZZZZ")</f>
        <v>Approximately 3.8 / 5 (aggregate across store-level Google listings; app rating on Google Play Store is 4.2 / 5 with 1M+ reviews)</v>
      </c>
      <c r="AT5" t="str">
        <f>_xlfn.XLOOKUP(AT$2,Table1[DB ID],Table1[Result],"ZZZZZ")</f>
        <v>Named India's fastest-growing quick-commerce platform by multiple analyst firms (Goldman Sachs, Bank of America) 2024–2025; featured in Deloitte Technology Fast 50 India rankings; Blinkit's parent Eternal recognized among India's most valuable consumer internet companies; Albinder Dhindsa listed among India's most influential startup founders (Economic Times, Entrepreneur India) 2024–2025; first Indian quick-commerce company to achieve adjusted EBITDA positivity (industry milestone, March 2024)</v>
      </c>
      <c r="AU5" t="str">
        <f>_xlfn.XLOOKUP(AU$2,Table1[DB ID],Table1[Result],"ZZZZZ")</f>
        <v>Positive-Moderate: approximately 65–70/100; strong brand love among urban users for reliability and speed; some negative sentiment around gig worker pay disputes (2023 Delhi NCR strike) and food safety violations (FSSAI raid, June 2024); overall consumer NPS estimated positive</v>
      </c>
      <c r="AV5" t="str">
        <f>_xlfn.XLOOKUP(AV$2,Table1[DB ID],Table1[Result],"ZZZZZ")</f>
        <v>India Internet Day (CII); Nasscom Product Conclave; TechSparks by YourStory; Economic Times Startup Awards; Inc42 D2C Summit; Zomato investor and shareholder events (quarterly calls)</v>
      </c>
      <c r="AX5">
        <f>Table3[[#This Row],[company_id]]</f>
        <v>1</v>
      </c>
      <c r="AY5" t="str">
        <f>_xlfn.XLOOKUP(AY$2,Table1[DB ID],Table1[Result],"ZZZZZ")</f>
        <v>Inconvenience of planned grocery shopping trips; long wait times for online grocery delivery (next-day or scheduled); unpredictable stock availability at local stores; lack of assortment variety in neighborhood kiranas; high cost and time of commuting to buy essential items; absence of reliable 24/7 delivery in urban areas; poor product quality control in hyperlocal delivery; need for instant delivery of high-value electronics and lifestyle products</v>
      </c>
      <c r="AZ5" t="str">
        <f>_xlfn.XLOOKUP(AZ$2,Table1[DB ID],Table1[Result],"ZZZZZ")</f>
        <v>Consumer Staples – Grocery &amp; Food Retail (GICS 30101010); Consumer Discretionary – E-Commerce &amp; Internet Retail (GICS 25502020); Healthcare – Pharmaceuticals Distribution (emerging); Technology – Internet Software &amp; Services (GICS 45103010); Consumer Discretionary – Electronics Retail (GICS 25504010)</v>
      </c>
      <c r="BA5" t="str">
        <f>_xlfn.XLOOKUP(BA$2,Table1[DB ID],Table1[Result],"ZZZZZ")</f>
        <v>10-minute grocery &amp; FMCG delivery; fresh produce, dairy and meat delivery; electronics and gadgets (iPhones, PlayStation, laptops); personal care and beauty products; baby care essentials; pet care products; pharmacy and OTC medicines (pilot); household and cleaning supplies; Blinkit Print (printing documents from app); stationery and books; fashion accessories; in-app retail media advertising platform (for FMCG brands)</v>
      </c>
      <c r="BB5" t="str">
        <f>_xlfn.XLOOKUP(BB$2,Table1[DB ID],Table1[Result],"ZZZZZ")</f>
        <v>Urban millennial and Gen-Z consumers (25–35 age group, ~63% male users); dual-income urban households; working professionals in metro cities; parents needing instant baby/childcare supplies; gamers and tech enthusiasts (electronics SKUs); last-minute event planners; FMCG brands advertising on platform (557+ brand advertisers as of Q3 FY24); small businesses ordering office supplies; health-conscious consumers buying organic/natural products; pet owners; students in college towns</v>
      </c>
      <c r="BC5" t="str">
        <f>_xlfn.XLOOKUP(BC$2,Table1[DB ID],Table1[Result],"ZZZZZ")</f>
        <v>Sub-10-minute guaranteed delivery in most urban areas; widest assortment (up to 25,000 SKUs) available for instant delivery; price parity with offline retail through own-inventory model (first-party, GSTIN-level control); reliability of stock availability via AI-driven demand forecasting; seamless integration with Zomato app for cross-platform convenience</v>
      </c>
      <c r="BD5" t="str">
        <f>_xlfn.XLOOKUP(BD$2,Table1[DB ID],Table1[Result],"ZZZZZ")</f>
        <v>First-mover and density leader in India's quick-commerce dark store model; 90%+ first-party inventory model (vs. marketplace peers) providing pricing and quality control; native integration with Eternal/Zomato's 24M+ monthly active food delivery users; AI-powered hyperlocal demand forecasting minimizing stockouts; rapid category expansion into electronics and high-value SKUs creating higher AOV (₹650+)</v>
      </c>
      <c r="BE5" t="str">
        <f>_xlfn.XLOOKUP(BE$2,Table1[DB ID],Table1[Result],"ZZZZZ")</f>
        <v>Densest dark store network in India (2,100+ stores, vs. 1,100–1,200 for Swiggy Instamart and Zepto); strong parent capital from Eternal Ltd (₹2,600 Cr invested in 2025 alone); proven EBITDA positivity milestone (first in quick-commerce sector, Q4 FY25); proprietary AI logistics stack reducing delivery costs and stockouts; network effect from Zomato integration giving cross-selling access; established brand recognition in metro India</v>
      </c>
      <c r="BF5" t="str">
        <f>_xlfn.XLOOKUP(BF$2,Table1[DB ID],Table1[Result],"ZZZZZ")</f>
        <v>Primarily metro-focused with limited Tier-2 / Tier-3 penetration; high capital expenditure requirement for dark store expansion; thin or negative margins outside Tier-1 cities; regulatory scrutiny over gig worker pay structures; limited international presence; high dependence on parent Eternal for capital and cross-platform traffic</v>
      </c>
      <c r="BG5" t="str">
        <f>_xlfn.XLOOKUP(BG$2,Table1[DB ID],Table1[Result],"ZZZZZ")</f>
        <v>Intensifying competition from Zepto, Swiggy Instamart, Flipkart Minutes, Amazon Now, and JioMart; sustaining profitability while aggressively expanding to 3,000 stores by March 2027; regulatory pressure from Indian government on 10-minute delivery SLAs due to rider safety concerns; managing inventory bloat in dark stores with expanding SKU count; scaling reverse logistics for electronics and fashion returns; retaining and fairly compensating delivery partner workforce</v>
      </c>
      <c r="BH5" t="str">
        <f>_xlfn.XLOOKUP(BH$2,Table1[DB ID],Table1[Result],"ZZZZZ")</f>
        <v>Zepto (direct – quick commerce); Swiggy Instamart (direct – quick commerce); BigBasket (Tata-owned – online grocery); Amazon Now / Amazon Fresh (direct – quick commerce); Flipkart Minutes (direct – quick commerce); JioMart (Reliance – online grocery + quick commerce); Dunzo (hyperlocal delivery); Nykaa (personal care e-commerce); DMart Ready (scheduled grocery); Myntra (fashion, adjacent); Grofers (former brand, same entity); Pepperfry (adjacent – home); PharmEasy (pharmacy delivery); 1mg / Tata 1mg (pharmacy)</v>
      </c>
      <c r="BI5" t="str">
        <f>_xlfn.XLOOKUP(BI$2,Table1[DB ID],Table1[Result],"ZZZZZ")</f>
        <v>~45–50% of India's quick-commerce order volume (per Goldman Sachs, Bank of America, 2025); Swiggy Instamart holds ~27%, Zepto ~21%</v>
      </c>
      <c r="BJ5" t="str">
        <f>_xlfn.XLOOKUP(BJ$2,Table1[DB ID],Table1[Result],"ZZZZZ")</f>
        <v>Product-Led Growth (PLG) via mobile app + aggressive performance marketing; consumer-direct B2C model; no traditional sales team; growth driven by app downloads, Zomato cross-platform promotion, and word-of-mouth</v>
      </c>
      <c r="BK5" t="str">
        <f>_xlfn.XLOOKUP(BK$2,Table1[DB ID],Table1[Result],"ZZZZZ")</f>
        <v>Low – B2C consumer model with millions of individual customers; no single customer contributes &gt;1% of revenue; no material customer concentration risk</v>
      </c>
      <c r="BL5" t="str">
        <f>_xlfn.XLOOKUP(BL$2,Table1[DB ID],Table1[Result],"ZZZZZ")</f>
        <v>2022 – Acquired by Zomato (now Eternal Ltd) for $568M in an all-stock deal (primary exit event for early investors); No independent IPO planned as of 2026; part of Eternal Ltd listed entity on NSE/BSE; investors including SoftBank and Tiger Global realized partial returns through Zomato stock</v>
      </c>
      <c r="BM5" t="str">
        <f>_xlfn.XLOOKUP(BM$2,Table1[DB ID],Table1[Result],"ZZZZZ")</f>
        <v>Blinkit: 45–50% market share, 2,100+ dark stores, ₹4,390 Cr revenue (FY25), adjusted EBITDA positive; Zepto: ~21% share, ~1,200 stores, $7B valuation, loss-making; Swiggy Instamart: ~27% share, ~1,100–1,200 stores, loss-making, 124 cities; Flipkart Minutes: ~800 stores, rapidly scaling, Walmart-backed; Amazon Now: 330–500 stores, ₹2,000 Cr investment committed</v>
      </c>
      <c r="BN5" t="str">
        <f>_xlfn.XLOOKUP(BN$2,Table1[DB ID],Table1[Result],"ZZZZZ")</f>
        <v>Revenue projected at ₹8,000–10,000 Cr for FY26 (based on 90%+ growth trajectory); 3,000 dark stores target by March 2027; adjusted EBITDA positivity on full-year basis expected FY26; India's quick-commerce market projected to reach $106B by 2034 at 45.6% CAGR, giving Blinkit a massive growth runway</v>
      </c>
      <c r="BO5" t="str">
        <f>_xlfn.XLOOKUP(BO$2,Table1[DB ID],Table1[Result],"ZZZZZ")</f>
        <v>Scale dark store network to 3,000 by March 2027 with Tier-1 deepening and Tier-2 entry; sustain and expand adjusted EBITDA positivity through first-party inventory model; expand high-value SKU categories (electronics, pharmacy, fashion) to increase AOV; grow retail media advertising revenue with 557+ brand partners; leverage Albinder Dhindsa's elevation as Eternal Group CEO to integrate quick-commerce at the heart of parent strategy</v>
      </c>
      <c r="BP5" t="str">
        <f>_xlfn.XLOOKUP(BP$2,Table1[DB ID],Table1[Result],"ZZZZZ")</f>
        <v>NASSCOM (National Association of Software and Service Companies); IAMAI (Internet and Mobile Association of India); CII (Confederation of Indian Industry) – via Eternal Ltd membership; FSSAI Industry Consultative Group (regulatory engagement); Retailers Association of India (emerging engagement)</v>
      </c>
      <c r="BQ5" t="str">
        <f>_xlfn.XLOOKUP(BQ$2,Table1[DB ID],Table1[Result],"ZZZZZ")</f>
        <v>Blinkit's 10-minute iPhone delivery case (widely covered in media, 2022–2023, demonstrating extreme category expansion); Cognitute.org case study on Blinkit's dark store AI logistics optimization (https://www.cognitute.org/case-study/blinkit-dark-store-network-and-ai-logistics); MarketHub24 case study on dark store optimization for faster deliveries (https://www.markhub24.com/post/blinkit-s-dark-store-optimization-for-faster-deliveries); Grofers Smart Bachat Club loyalty program case study (5 lakh paid subscriptions in 8 months, documented on Glassdoor company page)</v>
      </c>
      <c r="BR5" t="str">
        <f>_xlfn.XLOOKUP(BR$2,Table1[DB ID],Table1[Result],"ZZZZZ")</f>
        <v>Consumer app-first distribution (iOS and Android) with zero sales team; Zomato cross-app integration driving user cross-pollination from 24M+ food delivery MAUs; hyperlocal dark store network as physical GTM infrastructure; brand persona built on humor and relatability on social media (meme marketing); performance marketing on Google, Meta, and YouTube for user acquisition; FMCG brand partnerships for co-marketing and advertising revenue; dark store expansion as GTM strategy into new city clusters</v>
      </c>
      <c r="BS5" t="str">
        <f>_xlfn.XLOOKUP(BS$2,Table1[DB ID],Table1[Result],"ZZZZZ")</f>
        <v>AI-driven demand forecasting v2 (neighborhood-level prediction with 15-minute pre-staging); EV fleet 100% electrification by 2025–2026; Blinkit Print expansion to more cities; pharmacy delivery rollout beyond Bengaluru pilot; AR beauty try-on feature expansion; retail media platform scaling (targeting 1,000+ brand partners by FY26)</v>
      </c>
      <c r="BT5" t="str">
        <f>_xlfn.XLOOKUP(BT$2,Table1[DB ID],Table1[Result],"ZZZZZ")</f>
        <v>Full-scale pharmacy delivery (currently piloting in Bengaluru); Blinkit for Business (B2B office supplies, in development); expanded fashion accessories and apparel category; Blinkit Express (larger-format dark stores for bulky items); international expansion (not yet launched, long-term); loyalty and subscription program for frequent users</v>
      </c>
      <c r="BU5" t="str">
        <f>_xlfn.XLOOKUP(BU$2,Table1[DB ID],Table1[Result],"ZZZZZ")</f>
        <v>India's total grocery and essentials retail market: approximately $750–800 billion (2024); global quick-commerce TAM: $350–500 billion by 2030</v>
      </c>
      <c r="BV5" t="str">
        <f>_xlfn.XLOOKUP(BV$2,Table1[DB ID],Table1[Result],"ZZZZZ")</f>
        <v>India's organized and online grocery + essentials market in urban areas: approximately $25–35 billion (2024–2025); quick-commerce segment projected at $6–7 billion in 2024 growing to $106 billion by 2034</v>
      </c>
      <c r="BW5" t="str">
        <f>_xlfn.XLOOKUP(BW$2,Table1[DB ID],Table1[Result],"ZZZZZ")</f>
        <v>Blinkit's realistic near-term capture: approximately $3–4 billion GOV (based on 45% market share of $6–7B quick-commerce market); targeting $8–10B+ GOV by FY27 as market expands</v>
      </c>
      <c r="BY5">
        <f>Table3[[#This Row],[company_id]]</f>
        <v>1</v>
      </c>
      <c r="BZ5" t="str">
        <f>_xlfn.XLOOKUP(BZ$2,Table1[DB ID],Table1[Result],"ZZZZZ")</f>
        <v>Standard Earned Leave (EL) and Sick Leave per Indian labor laws; maternity and paternity leave in line with statutory requirements; mental health leave policy not publicly documented; casual leave available for corporate staff</v>
      </c>
      <c r="CA5" t="str">
        <f>_xlfn.XLOOKUP(CA$2,Table1[DB ID],Table1[Result],"ZZZZZ")</f>
        <v>Group medical insurance for corporate employees (covering self and dependents, estimated ₹5–10 lakh cover); OPD allowance for senior roles; mental health support resources through Eternal Ltd's employee wellness programs; dark store and gig workers covered under ESIC (Employees' State Insurance) as per statutory requirements</v>
      </c>
      <c r="CB5" t="str">
        <f>_xlfn.XLOOKUP(CB$2,Table1[DB ID],Table1[Result],"ZZZZZ")</f>
        <v>Corporate roles: approximately 70–80% fixed, 20–30% variable (performance bonus + ESOP component); dark store operations staff: primarily fixed/shift-based; delivery partners: variable (per-order earnings)</v>
      </c>
      <c r="CC5" t="str">
        <f>_xlfn.XLOOKUP(CC$2,Table1[DB ID],Table1[Result],"ZZZZZ")</f>
        <v>Moderate – annual performance bonuses paid for corporate employees; dependent on parent Eternal Ltd's overall performance; not guaranteed during heavy investment/loss-making quarters</v>
      </c>
      <c r="CD5" t="str">
        <f>_xlfn.XLOOKUP(CD$2,Table1[DB ID],Table1[Result],"ZZZZZ")</f>
        <v>ESOPs granted in Eternal Ltd (parent) stock (NSE/BSE listed); vesting period typically 4 years with 1-year cliff; ESOP value linked to Eternal Ltd market cap (significant upside as Blinkit's valuation grows); Glassdoor compensation rated 3.7/5</v>
      </c>
      <c r="CE5" t="str">
        <f>_xlfn.XLOOKUP(CE$2,Table1[DB ID],Table1[Result],"ZZZZZ")</f>
        <v>Group mediclaim policy for employees covering spouse, children, and dependent parents (estimated ₹5–10 lakh sum insured for corporate roles); ESIC coverage for operations and dark store staff as per statutory requirements</v>
      </c>
      <c r="CF5" t="str">
        <f>_xlfn.XLOOKUP(CF$2,Table1[DB ID],Table1[Result],"ZZZZZ")</f>
        <v>Relocation assistance available for senior hires moving to Gurugram HQ (estimated ₹50,000–₹1,50,000 one-time); exact policy not publicly documented</v>
      </c>
      <c r="CG5" t="str">
        <f>_xlfn.XLOOKUP(CG$2,Table1[DB ID],Table1[Result],"ZZZZZ")</f>
        <v>Subsidized/free meals at HQ cafeteria (estimated); Blinkit's own platform credits (employee grocery delivery discounts); wellness programs under Eternal Ltd; late-night cab reimbursement; mobile and internet allowances for corporate staff; gym/fitness reimbursement for senior roles</v>
      </c>
      <c r="CI5">
        <f>Table3[[#This Row],[company_id]]</f>
        <v>1</v>
      </c>
      <c r="CJ5" t="str">
        <f>_xlfn.XLOOKUP(CJ$2,Table1[DB ID],Table1[Result],"ZZZZZ")</f>
        <v>Engineering &amp; Product: ~150–200 open roles; Operations &amp; Supply Chain: ~300–400 open roles; Dark Store Staff: ~500+ ongoing openings; Business Development &amp; Category: ~50–80 open roles; Corporate/Support Functions: ~30–50 open roles</v>
      </c>
      <c r="CK5" t="str">
        <f>_xlfn.XLOOKUP(CK$2,Table1[DB ID],Table1[Result],"ZZZZZ")</f>
        <v>Estimated 35–45% annually (high due to large gig/contract workforce; corporate staff turnover estimated 20–25%; industry average for quick-commerce ~30–40%)</v>
      </c>
      <c r="CL5" t="str">
        <f>_xlfn.XLOOKUP(CL$2,Table1[DB ID],Table1[Result],"ZZZZZ")</f>
        <v>Estimated 1.5–2.5 years for corporate employees; under 12 months for dark store operations staff (based on Glassdoor data and quick-commerce industry benchmarks)</v>
      </c>
      <c r="CM5" t="str">
        <f>_xlfn.XLOOKUP(CM$2,Table1[DB ID],Table1[Result],"ZZZZZ")</f>
        <v>Gender: approximately 63% male, 37% female app user base (Similarweb); internal workforce gender split not publicly disclosed; Eternal Ltd (parent) has stated DEI commitments in annual reports; women in leadership estimated at 20–25% (based on industry norms); no public diversity report published by Blinkit independently</v>
      </c>
      <c r="CN5" t="str">
        <f>_xlfn.XLOOKUP(CN$2,Table1[DB ID],Table1[Result],"ZZZZZ")</f>
        <v>Fast-paced, execution-driven startup culture even post-acquisition; strong bias for ownership and accountability; collaborative within teams but intense pressure during scaling phases; Glassdoor reviews highlight good growth mindset but poor work-life balance (2.7/5 WLB rating)</v>
      </c>
      <c r="CO5" t="str">
        <f>_xlfn.XLOOKUP(CO$2,Table1[DB ID],Table1[Result],"ZZZZZ")</f>
        <v>Mixed – senior leadership (CEO level) widely praised as visionary and execution-focused; middle management quality varies significantly across functions; dark store operations managers reported as task-completion focused rather than coaching-oriented (per Glassdoor reviews)</v>
      </c>
      <c r="CP5" t="str">
        <f>_xlfn.XLOOKUP(CP$2,Table1[DB ID],Table1[Result],"ZZZZZ")</f>
        <v>Moderate – high-speed operations culture creates pressure; corporate team members report reasonable openness to feedback at team level; gig/operations workforce has lower psychological safety given recent pay restructuring disputes</v>
      </c>
      <c r="CQ5" t="str">
        <f>_xlfn.XLOOKUP(CQ$2,Table1[DB ID],Table1[Result],"ZZZZZ")</f>
        <v>Continuous feedback culture at senior tech/product levels; formal performance reviews on biannual cycle; dark store and operations staff feedback mechanisms less structured</v>
      </c>
      <c r="CR5" t="str">
        <f>_xlfn.XLOOKUP(CR$2,Table1[DB ID],Table1[Result],"ZZZZZ")</f>
        <v>Limited public DEI data; user base skews male (63%); working on gender diversity at corporate level; gig workforce predominantly male due to logistics nature of work; no independent diversity report published; parent Eternal Ltd has DEI commitments in annual reports</v>
      </c>
      <c r="CS5" t="str">
        <f>_xlfn.XLOOKUP(CS$2,Table1[DB ID],Table1[Result],"ZZZZZ")</f>
        <v>Commitment to food safety compliance (post-FSSAI 2024 findings, reforms underway); gig worker payout disputes in 2023 raised fairness questions; company held firm on new pay structure; no major corporate fraud or financial misconduct reported; ethical sourcing practices evolving</v>
      </c>
      <c r="CT5" t="str">
        <f>_xlfn.XLOOKUP(CT$2,Table1[DB ID],Table1[Result],"ZZZZZ")</f>
        <v>High – Glassdoor WLB rating of 2.7/5 (below industry average); rapid expansion pace and high-pressure delivery SLAs create sustained operational stress; tech team works under aggressive sprint cycles; mitigated partially by strong salary and learning opportunities</v>
      </c>
      <c r="CU5" t="str">
        <f>_xlfn.XLOOKUP(CU$2,Table1[DB ID],Table1[Result],"ZZZZZ")</f>
        <v>No major public layoff event reported at corporate level; gig worker attrition high and management-directed pay restructuring in 2023 led to effective workforce reduction in delivery partner count (not traditional layoffs); Blinkit underwent workforce restructuring during the Grofers-to-Blinkit pivot (2021–2022)</v>
      </c>
      <c r="CV5" t="str">
        <f>_xlfn.XLOOKUP(CV$2,Table1[DB ID],Table1[Result],"ZZZZZ")</f>
        <v>High – Blinkit's 10-minute delivery promise is an exceptionally clear and measurable mission; every employee understands the core KPI; organizational decisions consistently align with speed and reliability as primary values</v>
      </c>
      <c r="CW5" t="str">
        <f>_xlfn.XLOOKUP(CW$2,Table1[DB ID],Table1[Result],"ZZZZZ")</f>
        <v>EV fleet electrification commitment; food waste reduction via AI-driven demand forecasting; Eternal Ltd's broader CSR includes hunger relief initiatives and sustainable packaging goals; Blinkit-specific CSR not independently reported</v>
      </c>
      <c r="CX5" t="str">
        <f>_xlfn.XLOOKUP(CX$2,Table1[DB ID],Table1[Result],"ZZZZZ")</f>
        <v>Demonstrably resilient – navigated near-collapse post-Zomato acquisition (2022), gig worker strike (2023), FSSAI raid (2024), and intense competitive pressure; leadership maintained course corrections without public panic; held firm on structural decisions (pay restructuring) despite short-term controversy; overall crisis management rated competent by industry observers</v>
      </c>
      <c r="CZ5">
        <f>Table3[[#This Row],[company_id]]</f>
        <v>1</v>
      </c>
      <c r="DA5" t="str">
        <f>_xlfn.XLOOKUP(DA$2,Table1[DB ID],Table1[Result],"ZZZZZ")</f>
        <v>₹4,390 Cr (~$525M USD) for FY2025 (year ending March 31, 2025); ₹2,301 Cr for FY2024; representing 90%+ YoY growth</v>
      </c>
      <c r="DB5" t="str">
        <f>_xlfn.XLOOKUP(DB$2,Table1[DB ID],Table1[Result],"ZZZZZ")</f>
        <v>Loss-making at EBITDA level historically; Q4 FY25 first adjusted EBITDA positive quarter (₹4 Cr adjusted EBITDA); full-year FY25 still at adjusted EBITDA loss; narrowing rapidly toward breakeven</v>
      </c>
      <c r="DC5" t="str">
        <f>_xlfn.XLOOKUP(DC$2,Table1[DB ID],Table1[Result],"ZZZZZ")</f>
        <v>Platform/delivery fees (~35–40% of revenue); product sales/inventory margin – first-party model (~45–50%); in-app advertising / retail media (~10–12%); Blinkit Print and ancillary services (~2–3%)</v>
      </c>
      <c r="DD5" t="str">
        <f>_xlfn.XLOOKUP(DD$2,Table1[DB ID],Table1[Result],"ZZZZZ")</f>
        <v>$10.5–$13 billion USD (Goldman Sachs valuation, 2024–2025); implicitly valued as the primary growth asset of Eternal Ltd (market cap ~$20B+)</v>
      </c>
      <c r="DE5" t="str">
        <f>_xlfn.XLOOKUP(DE$2,Table1[DB ID],Table1[Result],"ZZZZZ")</f>
        <v>Revenue: ~91% YoY (FY25 vs FY24); Gross Order Value: ~134% YoY (Q4 FY25)</v>
      </c>
      <c r="DF5" t="str">
        <f>_xlfn.XLOOKUP(DF$2,Table1[DB ID],Table1[Result],"ZZZZZ")</f>
        <v>Near break-even / approaching profitability – first adjusted EBITDA positive quarter reported in Q4 FY25 (₹4 Cr); full-year FY26 EBITDA positivity expected by management guidance</v>
      </c>
      <c r="DG5" t="str">
        <f>_xlfn.XLOOKUP(DG$2,Table1[DB ID],Table1[Result],"ZZZZZ")</f>
        <v>Eternal Ltd / Zomato (primary capital provider post-acquisition, ₹3,000+ Cr infused 2024–2026); SoftBank Vision Fund; Tiger Global Management; Peak XV Partners (formerly Sequoia Capital India); Falcon Edge Capital; International Finance Corporation (IFC); Luxor Capital</v>
      </c>
      <c r="DH5" t="str">
        <f>_xlfn.XLOOKUP(DH$2,Table1[DB ID],Table1[Result],"ZZZZZ")</f>
        <v>Mar 2026 – ₹450 Cr infusion from Eternal Ltd (internal capital); Nov 2025 – ₹600 Cr (₹599.94 Cr) equity issuance to Eternal Ltd; Feb 2025 – ₹1,500 Cr infusion from Eternal Ltd for dark store expansion; 2024 – ₹400 Cr internal capital from Eternal Ltd; Mar 2022 – $150M Conventional Debt round (last external round)</v>
      </c>
      <c r="DI5" t="str">
        <f>_xlfn.XLOOKUP(DI$2,Table1[DB ID],Table1[Result],"ZZZZZ")</f>
        <v>$757M raised externally (15 funding rounds pre-acquisition); post-acquisition, ₹3,000+ Cr (~$360M+) infused internally by Eternal Ltd through 2025–2026; total lifetime capital approximately $1.1B+</v>
      </c>
      <c r="DJ5" t="str">
        <f>_xlfn.XLOOKUP(DJ$2,Table1[DB ID],Table1[Result],"ZZZZZ")</f>
        <v>Estimated ₹150–₹300 per new transacting user (based on Eternal's reported marketing spend and active user base of 24M+; exact Blinkit-specific CAC not disclosed)</v>
      </c>
      <c r="DK5" t="str">
        <f>_xlfn.XLOOKUP(DK$2,Table1[DB ID],Table1[Result],"ZZZZZ")</f>
        <v>Estimated ₹5,000–₹12,000 annually per active user (based on AOV of ₹650, order frequency of 8–15 orders/month for active users, 12-month window)</v>
      </c>
      <c r="DL5" t="str">
        <f>_xlfn.XLOOKUP(DL$2,Table1[DB ID],Table1[Result],"ZZZZZ")</f>
        <v>Estimated 20:1 to 40:1 (highly favorable; quick-commerce relies on high frequency repeat orders making LTV significantly exceed CAC)</v>
      </c>
      <c r="DM5" t="str">
        <f>_xlfn.XLOOKUP(DM$2,Table1[DB ID],Table1[Result],"ZZZZZ")</f>
        <v>Estimated 25–35% annual customer churn (quick-commerce industry average; Blinkit's retention better than peers due to Zomato integration; exact figure not disclosed)</v>
      </c>
      <c r="DN5" t="str">
        <f>_xlfn.XLOOKUP(DN$2,Table1[DB ID],Table1[Result],"ZZZZZ")</f>
        <v>Estimated 40–55 (positive; based on Glassdoor sentiment, app store ratings of 4.2/5, and brand sentiment data; exact NPS not publicly disclosed)</v>
      </c>
      <c r="DO5" t="str">
        <f>_xlfn.XLOOKUP(DO$2,Table1[DB ID],Table1[Result],"ZZZZZ")</f>
        <v>Estimated ₹150–₹250 Cr per month (net operational burn, excluding Eternal's capital infusions; narrowing as contribution margin turns positive; Blinkit is near EBITDA breakeven as of Q4 FY25)</v>
      </c>
      <c r="DP5" t="str">
        <f>_xlfn.XLOOKUP(DP$2,Table1[DB ID],Table1[Result],"ZZZZZ")</f>
        <v>Not a standalone funded entity – backed by Eternal Ltd with ₹8,500 Cr QIP raised in 2024; runway effectively unlimited as long as parent remains solvent and committed</v>
      </c>
      <c r="DQ5" t="str">
        <f>_xlfn.XLOOKUP(DQ$2,Table1[DB ID],Table1[Result],"ZZZZZ")</f>
        <v>Estimated 1.5–2.5x (net burn / net new GOV added; improving rapidly as unit economics turn positive; exact figure not disclosed)</v>
      </c>
      <c r="DS5">
        <f>Table3[[#This Row],[company_id]]</f>
        <v>1</v>
      </c>
      <c r="DT5" t="str">
        <f>_xlfn.XLOOKUP(DT$2,Table1[DB ID],Table1[Result],"ZZZZZ")</f>
        <v>Primarily office/on-site for corporate roles (Gurugram HQ); limited hybrid available for select tech and product roles; dark store operations staff fully on-site; consistent with Glassdoor reviews noting office-first culture</v>
      </c>
      <c r="DU5" t="str">
        <f>_xlfn.XLOOKUP(DU$2,Table1[DB ID],Table1[Result],"ZZZZZ")</f>
        <v>9–10 hours/day for corporate roles; dark store and delivery staff work shift-based hours (8-hour shifts typical); corporate roles often require beyond-hours availability during product launches and peak seasons</v>
      </c>
      <c r="DV5" t="str">
        <f>_xlfn.XLOOKUP(DV$2,Table1[DB ID],Table1[Result],"ZZZZZ")</f>
        <v>Moderate-to-high for corporate and tech roles during expansion phases; dark store operations staff follow structured shift schedules; Glassdoor reviews note pressure during peak periods (festive seasons, new store launches)</v>
      </c>
      <c r="DW5" t="str">
        <f>_xlfn.XLOOKUP(DW$2,Table1[DB ID],Table1[Result],"ZZZZZ")</f>
        <v>Occasionally expected for corporate roles during launches or operational crises; dark store staff work weekends as part of regular rotation</v>
      </c>
      <c r="DX5" t="str">
        <f>_xlfn.XLOOKUP(DX$2,Table1[DB ID],Table1[Result],"ZZZZZ")</f>
        <v>Primarily on-site for corporate roles (Gurugram HQ); limited hybrid flexibility available for senior tech/product roles; no fully remote positions; dark store and operations roles 100% on-site</v>
      </c>
      <c r="DY5" t="str">
        <f>_xlfn.XLOOKUP(DY$2,Table1[DB ID],Table1[Result],"ZZZZZ")</f>
        <v>HQ in Sector 18, Gurugram – peripheral to central Delhi but well-located in Gurugram's commercial belt; accessible via NH-48 (Delhi-Gurugram Expressway); not in a traditional tech park</v>
      </c>
      <c r="DZ5" t="str">
        <f>_xlfn.XLOOKUP(DZ$2,Table1[DB ID],Table1[Result],"ZZZZZ")</f>
        <v>HUDA City Centre Metro (Yellow Line) approximately 5–7 km from HQ; Gurugram-Delhi bus routes available; auto-rickshaw and cab services widely available; limited direct metro connectivity to Sector 18</v>
      </c>
      <c r="EA5" t="str">
        <f>_xlfn.XLOOKUP(EA$2,Table1[DB ID],Table1[Result],"ZZZZZ")</f>
        <v>Ola, Uber, and Rapido widely available in Gurugram; company-provided cab facilities available for late-night shifts (per industry norm for Gurugram tech companies); exact Blinkit cab policy not publicly disclosed</v>
      </c>
      <c r="EB5" t="str">
        <f>_xlfn.XLOOKUP(EB$2,Table1[DB ID],Table1[Result],"ZZZZZ")</f>
        <v>Approximately 20–30 minutes from Indira Gandhi International Airport (IGI) Terminal 3 via NH-48 under normal traffic; 45–60 minutes during peak hours</v>
      </c>
      <c r="EC5" t="str">
        <f>_xlfn.XLOOKUP(EC$2,Table1[DB ID],Table1[Result],"ZZZZZ")</f>
        <v>Mixed-use commercial area (Gurugram Sector 18); not a designated IT SEZ or tech park; near DLF Cyber City and Udyog Vihar commercial zones</v>
      </c>
      <c r="ED5" t="str">
        <f>_xlfn.XLOOKUP(ED$2,Table1[DB ID],Table1[Result],"ZZZZZ")</f>
        <v>Sector 18, Gurugram is a well-established commercial area with good daytime safety; nighttime safety reasonable with cab availability; standard Gurugram urban safety profile</v>
      </c>
      <c r="EE5" t="str">
        <f>_xlfn.XLOOKUP(EE$2,Table1[DB ID],Table1[Result],"ZZZZZ")</f>
        <v>Late-night cab service available for employees working late (estimated, per industry norm); women safety policies in place in line with POSH Act requirements; gig worker safety protocols improved post-2021 10-minute delivery controversy; FSSAI-mandated food safety protocols at dark stores</v>
      </c>
      <c r="EF5" t="str">
        <f>_xlfn.XLOOKUP(EF$2,Table1[DB ID],Table1[Result],"ZZZZZ")</f>
        <v>Standard corporate office safety in Gurugram HQ; fire safety systems, emergency exits compliant with local regulations; dark stores follow FSSAI storage safety requirements (ongoing improvements post-2024 audit)</v>
      </c>
      <c r="EG5" t="str">
        <f>_xlfn.XLOOKUP(EG$2,Table1[DB ID],Table1[Result],"ZZZZZ")</f>
        <v>Standard first-aid facilities at HQ; fire drills and emergency protocols per building management; dark stores have first-aid kits mandated by operations policy; medical emergency response via on-call support (estimated)</v>
      </c>
      <c r="EI5">
        <f>Table3[[#This Row],[company_id]]</f>
        <v>1</v>
      </c>
      <c r="EJ5" t="str">
        <f>_xlfn.XLOOKUP(EJ$2,Table1[DB ID],Table1[Result],"ZZZZZ")</f>
        <v>Albinder Dhindsa (Co-founder; also elevated to Group CEO of Eternal Ltd from Feb 1, 2026)</v>
      </c>
      <c r="EK5" t="str">
        <f>_xlfn.XLOOKUP(EK$2,Table1[DB ID],Table1[Result],"ZZZZZ")</f>
        <v>https://www.linkedin.com/in/albinderdhindsa</v>
      </c>
      <c r="EL5" t="str">
        <f>_xlfn.XLOOKUP(EL$2,Table1[DB ID],Table1[Result],"ZZZZZ")</f>
        <v>Albinder Dhindsa – Co-founder &amp; CEO (https://www.linkedin.com/in/albinder); Saurabh Kumar – Co-founder (https://www.linkedin.com/in/saurabhkumar1); Jacob Singh – CTO (https://www.linkedin.com/in/jacobsinghjr); Deepinder Goyal – Vice Chairman, Eternal Ltd (oversight, https://www.linkedin.com/in/deepindergoyal); Kaushik Dhar – VP Operations (LinkedIn: estimated, not publicly disclosed)</v>
      </c>
      <c r="EM5" t="str">
        <f>_xlfn.XLOOKUP(EM$2,Table1[DB ID],Table1[Result],"ZZZZZ")</f>
        <v>Via Eternal Ltd / Zomato board and executive network; via SoftBank Vision Fund portfolio company connections; via Tiger Global Management portfolio network; via Peak XV Partners (Sequoia India) alumni; via IIT Delhi and Columbia Business School alumni networks (Dhindsa's alma maters)</v>
      </c>
      <c r="EN5" t="str">
        <f>_xlfn.XLOOKUP(EN$2,Table1[DB ID],Table1[Result],"ZZZZZ")</f>
        <v>Medium – Blinkit leadership is accessible via LinkedIn and industry events; however, as a subsidiary of a listed company, formal business decisions flow through Eternal Ltd hierarchy; CEO Albinder Dhindsa is active on social media and shareholder letters</v>
      </c>
      <c r="EO5" t="str">
        <f>_xlfn.XLOOKUP(EO$2,Table1[DB ID],Table1[Result],"ZZZZZ")</f>
        <v>Albinder Dhindsa (CEO) for leadership contact; for partnerships, business development team contact not publicly named</v>
      </c>
      <c r="EP5" t="str">
        <f>_xlfn.XLOOKUP(EP$2,Table1[DB ID],Table1[Result],"ZZZZZ")</f>
        <v>Co-Founder &amp; CEO, Blinkit; Group CEO, Eternal Ltd</v>
      </c>
      <c r="EQ5" t="str">
        <f>_xlfn.XLOOKUP(EQ$2,Table1[DB ID],Table1[Result],"ZZZZZ")</f>
        <v>Not publicly disclosed (executive email not listed; general contact via support@blinkit.com)</v>
      </c>
      <c r="ER5" t="str">
        <f>_xlfn.XLOOKUP(ER$2,Table1[DB ID],Table1[Result],"ZZZZZ")</f>
        <v>Not Publicly Available</v>
      </c>
      <c r="ES5" t="str">
        <f>_xlfn.XLOOKUP(ES$2,Table1[DB ID],Table1[Result],"ZZZZZ")</f>
        <v>Deepinder Goyal – Vice Chairman, Eternal Ltd (oversight of Blinkit); Albinder Dhindsa – CEO, Blinkit &amp; Group CEO, Eternal Ltd; Eternal Ltd's full board includes independent directors: Namita Gupta, Aparna Popat, Surobhi Das, Akriti Chopra (resigned 2024); Sanjeev Bikhchandani (Info Edge, early Zomato investor); Eternal Ltd board oversight applies to Blinkit as wholly owned subsidiary</v>
      </c>
      <c r="EU5">
        <f>Table3[[#This Row],[company_id]]</f>
        <v>1</v>
      </c>
      <c r="EV5" t="str">
        <f>_xlfn.XLOOKUP(EV$2,Table1[DB ID],Table1[Result],"ZZZZZ")</f>
        <v>Not separately disclosed; estimated ₹5,000–₹15,000 per employee annually for corporate roles (based on quick-commerce industry benchmarks); operational training for dark store staff embedded in onboarding</v>
      </c>
      <c r="EW5" t="str">
        <f>_xlfn.XLOOKUP(EW$2,Table1[DB ID],Table1[Result],"ZZZZZ")</f>
        <v>Structured onboarding for corporate hires with product and operations immersion; dark store staff receive 1–2 week operational training; tech team onboarding leverages internal wikis and engineering documentation; Glassdoor reviews rate learning opportunities at 3.6/5</v>
      </c>
      <c r="EX5" t="str">
        <f>_xlfn.XLOOKUP(EX$2,Table1[DB ID],Table1[Result],"ZZZZZ")</f>
        <v>Access to internal knowledge-sharing sessions and engineering tech talks; LinkedIn Learning and external course reimbursements available for senior roles; Eternal Ltd cross-functional learning opportunities; informal mentorship through flat hierarchy at tech level</v>
      </c>
      <c r="EY5" t="str">
        <f>_xlfn.XLOOKUP(EY$2,Table1[DB ID],Table1[Result],"ZZZZZ")</f>
        <v>High-quality exposure for tech, product, and operations roles – working on real-world problems at massive scale (1.2M+ daily orders); direct impact on consumer experience; engineers work on distributed systems, AI/ML pipelines, and real-time logistics challenges</v>
      </c>
      <c r="EZ5" t="str">
        <f>_xlfn.XLOOKUP(EZ$2,Table1[DB ID],Table1[Result],"ZZZZZ")</f>
        <v>Available informally at senior tech and product levels; CEO Albinder Dhindsa known to be accessible for leadership mentorship; structured mentorship programs not formally documented; access to Eternal Ltd leadership for cross-functional learning</v>
      </c>
      <c r="FA5" t="str">
        <f>_xlfn.XLOOKUP(FA$2,Table1[DB ID],Table1[Result],"ZZZZZ")</f>
        <v>Moderate – opportunities to move across Blinkit business functions; inter-company transfers within Eternal Ltd group (Zomato food delivery, Hyperpure) available; not formally structured but practiced informally</v>
      </c>
      <c r="FB5" t="str">
        <f>_xlfn.XLOOKUP(FB$2,Table1[DB ID],Table1[Result],"ZZZZZ")</f>
        <v>Merit-based promotions with performance review cycles; promotion timelines faster than traditional companies due to rapid scaling; criteria not fully transparent per Glassdoor reviews; high performers can advance significantly within 18–24 months</v>
      </c>
      <c r="FC5" t="str">
        <f>_xlfn.XLOOKUP(FC$2,Table1[DB ID],Table1[Result],"ZZZZZ")</f>
        <v>Modern tech stack (React Native, Python, Golang, AWS, Kubernetes, Kafka); access to proprietary AI/ML platforms; Tableau for analytics; Salesforce for partner management; standard productivity suite (G Suite / Slack / Jira)</v>
      </c>
      <c r="FD5" t="str">
        <f>_xlfn.XLOOKUP(FD$2,Table1[DB ID],Table1[Result],"ZZZZZ")</f>
        <v>Moderate-to-high for tech and product roles (well-defined OKRs); lower for operations roles during rapid scaling; dark store managers report ambiguity during rapid expansion phases</v>
      </c>
      <c r="FE5" t="str">
        <f>_xlfn.XLOOKUP(FE$2,Table1[DB ID],Table1[Result],"ZZZZZ")</f>
        <v>High – Blinkit's startup culture grants early ownership and real responsibility to hires within 3–6 months; engineers and product managers own features end-to-end; operations managers run P&amp;L for individual dark stores</v>
      </c>
      <c r="FF5" t="str">
        <f>_xlfn.XLOOKUP(FF$2,Table1[DB ID],Table1[Result],"ZZZZZ")</f>
        <v>Direct impact on consumer experience (delivery speed, order accuracy); revenue impact (each dark store manager drives ₹6–18 lakh daily GOV); product decisions directly affect 24M+ active users</v>
      </c>
      <c r="FG5" t="str">
        <f>_xlfn.XLOOKUP(FG$2,Table1[DB ID],Table1[Result],"ZZZZZ")</f>
        <v>Execution-heavy at operations level; balanced execution-and-strategy at product and business levels; data science and engineering roles are thinking-heavy with strong analytical focus</v>
      </c>
      <c r="FH5" t="str">
        <f>_xlfn.XLOOKUP(FH$2,Table1[DB ID],Table1[Result],"ZZZZZ")</f>
        <v>High at technology and analytics levels; moderate at dark store operations (pickers and packers are manual but supported by digital scanning tools); delivery routing is fully algorithmic</v>
      </c>
      <c r="FI5" t="str">
        <f>_xlfn.XLOOKUP(FI$2,Table1[DB ID],Table1[Result],"ZZZZZ")</f>
        <v>High – supply chain, tech, product, marketing, and finance teams work closely together; dark store expansion teams collaborate across real estate, operations, and technology; advertising platform team works with external FMCG brands</v>
      </c>
      <c r="FJ5" t="str">
        <f>_xlfn.XLOOKUP(FJ$2,Table1[DB ID],Table1[Result],"ZZZZZ")</f>
        <v>Scale-up / Growth Stage – founded 2013, now fully integrated into listed parent Eternal Ltd; post-acquisition stability significantly higher than standalone startup; no independent listing risk</v>
      </c>
      <c r="FK5" t="str">
        <f>_xlfn.XLOOKUP(FK$2,Table1[DB ID],Table1[Result],"ZZZZZ")</f>
        <v>High within India's urban consumer internet space – Blinkit is a household name in metro cities; strong resume signal for product, tech, and operations professionals; globally recognized through Eternal Ltd association</v>
      </c>
      <c r="FL5" t="str">
        <f>_xlfn.XLOOKUP(FL$2,Table1[DB ID],Table1[Result],"ZZZZZ")</f>
        <v>End consumers are urban, digitally-savvy, high-purchasing-power metro residents; B2B advertising clients include HUL, P&amp;G, Nestlé, ITC, Marico (India's top FMCG companies); brand partner quality is high and growing</v>
      </c>
      <c r="FM5" t="str">
        <f>_xlfn.XLOOKUP(FM$2,Table1[DB ID],Table1[Result],"ZZZZZ")</f>
        <v>Strong – ex-Blinkit talent recruited by Zepto, Swiggy, Flipkart Commerce, Amazon India, McKinsey, BCG, and funded startups; supply chain and operations expertise highly sought; tech talent placed at Google, Microsoft, and global fintechs; entrepreneurship is a common exit path</v>
      </c>
      <c r="FN5" t="str">
        <f>_xlfn.XLOOKUP(FN$2,Table1[DB ID],Table1[Result],"ZZZZZ")</f>
        <v>Very High – skills in quick-commerce operations, dark store management, AI/ML logistics, hyperlocal supply chain, and consumer app development are among the most in-demand in Indian digital commerce as of 2025</v>
      </c>
      <c r="FO5" t="str">
        <f>_xlfn.XLOOKUP(FO$2,Table1[DB ID],Table1[Result],"ZZZZZ")</f>
        <v>High – Blinkit listed on resumes is recognized by top-tier employers in India and globally as a signal of high-velocity operations experience; Eternal Ltd association adds credibility</v>
      </c>
      <c r="FP5" t="str">
        <f>_xlfn.XLOOKUP(FP$2,Table1[DB ID],Table1[Result],"ZZZZZ")</f>
        <v>Strong alumni network within Indian startup ecosystem; Eternal Ltd / Zomato group alumni well-placed across Indian tech and consumer internet; IIT/IIM heavy leadership creates access to elite academic alumni networks</v>
      </c>
      <c r="FQ5" t="str">
        <f>_xlfn.XLOOKUP(FQ$2,Table1[DB ID],Table1[Result],"ZZZZZ")</f>
        <v>Limited currently – Blinkit operates only in India; however, Eternal Ltd's potential international expansion and investor relations (SoftBank, Goldman, Tiger Global) provide some global exposure; tech roles interact with global cloud vendors and open-source communities</v>
      </c>
      <c r="FS5">
        <f>Table3[[#This Row],[company_id]]</f>
        <v>1</v>
      </c>
      <c r="FT5" t="str">
        <f>_xlfn.XLOOKUP(FT$2,Table1[DB ID],Table1[Result],"ZZZZZ")</f>
        <v>Eternal Ltd / Zomato (parent platform integration); Google Cloud (infrastructure); AWS (cloud computing); Razorpay / Paytm / UPI (payments); Thomas Cook (multicurrency forex delivery); Bharti Airtel (SIM card delivery partnership); Various EV fleet partners for last-mile delivery</v>
      </c>
      <c r="FU5" t="str">
        <f>_xlfn.XLOOKUP(FU$2,Table1[DB ID],Table1[Result],"ZZZZZ")</f>
        <v>Proprietary AI/ML demand forecasting algorithms for dark store inventory; hyperlocal routing and dispatch optimization engine; dark store layout and operations IP (micro-warehouse setup methodology); Blinkit brand trademark; app UX and design patents (filed under Eternal Ltd); Seller Hub platform technology for brand partners</v>
      </c>
      <c r="FV5" t="str">
        <f>_xlfn.XLOOKUP(FV$2,Table1[DB ID],Table1[Result],"ZZZZZ")</f>
        <v>Not separately disclosed; Eternal Ltd reports combined tech &amp; product spend of approximately ₹500–800 Cr annually across all business units; Blinkit's share estimated at 20–30% of that (~₹100–200 Cr)</v>
      </c>
      <c r="FW5" t="str">
        <f>_xlfn.XLOOKUP(FW$2,Table1[DB ID],Table1[Result],"ZZZZZ")</f>
        <v>High – AI/ML deeply embedded in core operations: neighborhood-level demand forecasting (reducing stockouts by 15%); real-time routing optimization for delivery partners; ML-driven home-screen personalization for 20M+ MAUs; AR try-on features for beauty products; advertiser targeting engine for retail media platform</v>
      </c>
      <c r="FX5" t="str">
        <f>_xlfn.XLOOKUP(FX$2,Table1[DB ID],Table1[Result],"ZZZZZ")</f>
        <v>React Native (mobile app); Python (ML/data science backend); Golang (microservices); PostgreSQL / MySQL (databases); Apache Kafka (event streaming); Redis (caching); AWS (primary cloud); Google Cloud (secondary/ML workloads); Kubernetes (container orchestration); Tableau / internal dashboards (analytics); Salesforce (partner CRM, estimated); Firebase (push notifications)</v>
      </c>
      <c r="FY5" t="str">
        <f>_xlfn.XLOOKUP(FY$2,Table1[DB ID],Table1[Result],"ZZZZZ")</f>
        <v>PCI-DSS compliant (payment processing); ISO 27001 adherence expected under Eternal Ltd framework; no major publicly disclosed data breaches; consumer data handled under India's IT Act; app security regularly audited</v>
      </c>
      <c r="FZ5" t="str">
        <f>_xlfn.XLOOKUP(FZ$2,Table1[DB ID],Table1[Result],"ZZZZZ")</f>
        <v>Eternal Ltd / Zomato (parent cross-platform); Thomas Cook India (forex delivery); Bharti Airtel (SIM card delivery); FMCG brands (HUL, Nestlé, P&amp;G – advertising partners); Apple and Samsung (authorized electronics stocking); Razorpay / Paytm (payments); EV fleet partners (Euler Motors, Ather, estimated)</v>
      </c>
      <c r="GA5" t="str">
        <f>_xlfn.XLOOKUP(GA$2,Table1[DB ID],Table1[Result],"ZZZZZ")</f>
        <v>Blinkit: Advanced (AI/ML demand forecasting, real-time routing, AR features, retail media platform – well ahead of Indian quick-commerce peers); Zepto: Intermediate-Advanced (strong tech but smaller data set); Swiggy Instamart: Intermediate (leveraging Swiggy's existing tech stack)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Input</vt:lpstr>
      <vt:lpstr>Output</vt:lpstr>
      <vt:lpstr>DB Tables</vt:lpstr>
      <vt:lpstr>Input</vt:lpstr>
      <vt:lpstr>Result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Piruthivi Raj</cp:lastModifiedBy>
  <cp:revision/>
  <dcterms:created xsi:type="dcterms:W3CDTF">2026-01-23T09:25:58Z</dcterms:created>
  <dcterms:modified xsi:type="dcterms:W3CDTF">2026-05-17T13:05:53Z</dcterms:modified>
  <cp:category/>
  <cp:contentStatus/>
</cp:coreProperties>
</file>