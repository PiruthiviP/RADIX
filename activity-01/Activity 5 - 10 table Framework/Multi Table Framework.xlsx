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EF03AF81-0E15-42DA-821C-4C89F02B70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put" sheetId="2" r:id="rId1"/>
    <sheet name="Output" sheetId="1" r:id="rId2"/>
    <sheet name="DB Tables" sheetId="3" r:id="rId3"/>
  </sheets>
  <definedNames>
    <definedName name="Input">Input!$A$3:$C$165</definedName>
    <definedName name="Result">Output!$A$2:$D$164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3" l="1"/>
  <c r="AX5" i="3"/>
  <c r="BY5" i="3"/>
  <c r="CI5" i="3"/>
  <c r="CZ5" i="3"/>
  <c r="DS5" i="3"/>
  <c r="EI5" i="3"/>
  <c r="EU5" i="3"/>
  <c r="FS5" i="3"/>
  <c r="E2" i="1"/>
  <c r="C5" i="3" s="1"/>
  <c r="E3" i="1"/>
  <c r="D5" i="3" s="1"/>
  <c r="E4" i="1"/>
  <c r="E5" i="3" s="1"/>
  <c r="E5" i="1"/>
  <c r="F5" i="3" s="1"/>
  <c r="E6" i="1"/>
  <c r="G5" i="3" s="1"/>
  <c r="E7" i="1"/>
  <c r="H5" i="3" s="1"/>
  <c r="E8" i="1"/>
  <c r="I5" i="3" s="1"/>
  <c r="E9" i="1"/>
  <c r="J5" i="3" s="1"/>
  <c r="E10" i="1"/>
  <c r="K5" i="3" s="1"/>
  <c r="E11" i="1"/>
  <c r="L5" i="3" s="1"/>
  <c r="E12" i="1"/>
  <c r="M5" i="3" s="1"/>
  <c r="E13" i="1"/>
  <c r="N5" i="3" s="1"/>
  <c r="E14" i="1"/>
  <c r="O5" i="3" s="1"/>
  <c r="E15" i="1"/>
  <c r="P5" i="3" s="1"/>
  <c r="E16" i="1"/>
  <c r="Q5" i="3" s="1"/>
  <c r="E17" i="1"/>
  <c r="R5" i="3" s="1"/>
  <c r="E18" i="1"/>
  <c r="S5" i="3" s="1"/>
  <c r="E19" i="1"/>
  <c r="T5" i="3" s="1"/>
  <c r="E20" i="1"/>
  <c r="U5" i="3" s="1"/>
  <c r="E21" i="1"/>
  <c r="V5" i="3" s="1"/>
  <c r="E22" i="1"/>
  <c r="W5" i="3" s="1"/>
  <c r="E23" i="1"/>
  <c r="X5" i="3" s="1"/>
  <c r="E24" i="1"/>
  <c r="Y5" i="3" s="1"/>
  <c r="E25" i="1"/>
  <c r="Z5" i="3" s="1"/>
  <c r="E26" i="1"/>
  <c r="AA5" i="3" s="1"/>
  <c r="E27" i="1"/>
  <c r="AB5" i="3" s="1"/>
  <c r="E28" i="1"/>
  <c r="AC5" i="3" s="1"/>
  <c r="E29" i="1"/>
  <c r="AD5" i="3" s="1"/>
  <c r="E30" i="1"/>
  <c r="AE5" i="3" s="1"/>
  <c r="E31" i="1"/>
  <c r="AF5" i="3" s="1"/>
  <c r="E32" i="1"/>
  <c r="AG5" i="3" s="1"/>
  <c r="E33" i="1"/>
  <c r="AH5" i="3" s="1"/>
  <c r="E34" i="1"/>
  <c r="AI5" i="3" s="1"/>
  <c r="E35" i="1"/>
  <c r="AJ5" i="3" s="1"/>
  <c r="E36" i="1"/>
  <c r="AM5" i="3" s="1"/>
  <c r="E37" i="1"/>
  <c r="AN5" i="3" s="1"/>
  <c r="E38" i="1"/>
  <c r="AO5" i="3" s="1"/>
  <c r="E39" i="1"/>
  <c r="AP5" i="3" s="1"/>
  <c r="E40" i="1"/>
  <c r="AQ5" i="3" s="1"/>
  <c r="E41" i="1"/>
  <c r="AR5" i="3" s="1"/>
  <c r="E42" i="1"/>
  <c r="AS5" i="3" s="1"/>
  <c r="E43" i="1"/>
  <c r="AT5" i="3" s="1"/>
  <c r="E44" i="1"/>
  <c r="AU5" i="3" s="1"/>
  <c r="E45" i="1"/>
  <c r="AV5" i="3" s="1"/>
  <c r="E46" i="1"/>
  <c r="AY5" i="3" s="1"/>
  <c r="E47" i="1"/>
  <c r="AZ5" i="3" s="1"/>
  <c r="E48" i="1"/>
  <c r="BA5" i="3" s="1"/>
  <c r="E49" i="1"/>
  <c r="BB5" i="3" s="1"/>
  <c r="E50" i="1"/>
  <c r="BC5" i="3" s="1"/>
  <c r="E51" i="1"/>
  <c r="BD5" i="3" s="1"/>
  <c r="E52" i="1"/>
  <c r="BE5" i="3" s="1"/>
  <c r="E53" i="1"/>
  <c r="BF5" i="3" s="1"/>
  <c r="E54" i="1"/>
  <c r="BG5" i="3" s="1"/>
  <c r="E55" i="1"/>
  <c r="BH5" i="3" s="1"/>
  <c r="E56" i="1"/>
  <c r="BI5" i="3" s="1"/>
  <c r="E57" i="1"/>
  <c r="BJ5" i="3" s="1"/>
  <c r="E58" i="1"/>
  <c r="BK5" i="3" s="1"/>
  <c r="E59" i="1"/>
  <c r="BL5" i="3" s="1"/>
  <c r="E60" i="1"/>
  <c r="BM5" i="3" s="1"/>
  <c r="E61" i="1"/>
  <c r="BN5" i="3" s="1"/>
  <c r="E62" i="1"/>
  <c r="BO5" i="3" s="1"/>
  <c r="E63" i="1"/>
  <c r="BP5" i="3" s="1"/>
  <c r="E64" i="1"/>
  <c r="BQ5" i="3" s="1"/>
  <c r="E65" i="1"/>
  <c r="BR5" i="3" s="1"/>
  <c r="E66" i="1"/>
  <c r="BS5" i="3" s="1"/>
  <c r="E67" i="1"/>
  <c r="BT5" i="3" s="1"/>
  <c r="E68" i="1"/>
  <c r="BU5" i="3" s="1"/>
  <c r="E69" i="1"/>
  <c r="BV5" i="3" s="1"/>
  <c r="E70" i="1"/>
  <c r="BW5" i="3" s="1"/>
  <c r="E71" i="1"/>
  <c r="BZ5" i="3" s="1"/>
  <c r="E72" i="1"/>
  <c r="CA5" i="3" s="1"/>
  <c r="E73" i="1"/>
  <c r="CB5" i="3" s="1"/>
  <c r="E74" i="1"/>
  <c r="CC5" i="3" s="1"/>
  <c r="E75" i="1"/>
  <c r="CD5" i="3" s="1"/>
  <c r="E76" i="1"/>
  <c r="CE5" i="3" s="1"/>
  <c r="E77" i="1"/>
  <c r="CF5" i="3" s="1"/>
  <c r="E78" i="1"/>
  <c r="CG5" i="3" s="1"/>
  <c r="E79" i="1"/>
  <c r="CJ5" i="3" s="1"/>
  <c r="E80" i="1"/>
  <c r="CK5" i="3" s="1"/>
  <c r="E81" i="1"/>
  <c r="CL5" i="3" s="1"/>
  <c r="E82" i="1"/>
  <c r="CM5" i="3" s="1"/>
  <c r="E83" i="1"/>
  <c r="CN5" i="3" s="1"/>
  <c r="E84" i="1"/>
  <c r="CO5" i="3" s="1"/>
  <c r="E85" i="1"/>
  <c r="CP5" i="3" s="1"/>
  <c r="E86" i="1"/>
  <c r="CQ5" i="3" s="1"/>
  <c r="E87" i="1"/>
  <c r="CR5" i="3" s="1"/>
  <c r="E88" i="1"/>
  <c r="CS5" i="3" s="1"/>
  <c r="E89" i="1"/>
  <c r="CT5" i="3" s="1"/>
  <c r="E90" i="1"/>
  <c r="CU5" i="3" s="1"/>
  <c r="E91" i="1"/>
  <c r="CV5" i="3" s="1"/>
  <c r="E92" i="1"/>
  <c r="CW5" i="3" s="1"/>
  <c r="E93" i="1"/>
  <c r="CX5" i="3" s="1"/>
  <c r="E94" i="1"/>
  <c r="DA5" i="3" s="1"/>
  <c r="E95" i="1"/>
  <c r="DB5" i="3" s="1"/>
  <c r="E96" i="1"/>
  <c r="DC5" i="3" s="1"/>
  <c r="E97" i="1"/>
  <c r="DD5" i="3" s="1"/>
  <c r="E98" i="1"/>
  <c r="DE5" i="3" s="1"/>
  <c r="E99" i="1"/>
  <c r="DF5" i="3" s="1"/>
  <c r="E100" i="1"/>
  <c r="DG5" i="3" s="1"/>
  <c r="E101" i="1"/>
  <c r="DH5" i="3" s="1"/>
  <c r="E102" i="1"/>
  <c r="DI5" i="3" s="1"/>
  <c r="E103" i="1"/>
  <c r="DJ5" i="3" s="1"/>
  <c r="E104" i="1"/>
  <c r="DK5" i="3" s="1"/>
  <c r="E105" i="1"/>
  <c r="DL5" i="3" s="1"/>
  <c r="E106" i="1"/>
  <c r="DM5" i="3" s="1"/>
  <c r="E107" i="1"/>
  <c r="DN5" i="3" s="1"/>
  <c r="E108" i="1"/>
  <c r="DO5" i="3" s="1"/>
  <c r="E109" i="1"/>
  <c r="DP5" i="3" s="1"/>
  <c r="E110" i="1"/>
  <c r="DQ5" i="3" s="1"/>
  <c r="E111" i="1"/>
  <c r="DT5" i="3" s="1"/>
  <c r="E112" i="1"/>
  <c r="DU5" i="3" s="1"/>
  <c r="E113" i="1"/>
  <c r="DV5" i="3" s="1"/>
  <c r="E114" i="1"/>
  <c r="DW5" i="3" s="1"/>
  <c r="E115" i="1"/>
  <c r="DX5" i="3" s="1"/>
  <c r="E116" i="1"/>
  <c r="DY5" i="3" s="1"/>
  <c r="E117" i="1"/>
  <c r="DZ5" i="3" s="1"/>
  <c r="E118" i="1"/>
  <c r="EA5" i="3" s="1"/>
  <c r="E119" i="1"/>
  <c r="EB5" i="3" s="1"/>
  <c r="E120" i="1"/>
  <c r="EC5" i="3" s="1"/>
  <c r="E121" i="1"/>
  <c r="ED5" i="3" s="1"/>
  <c r="E122" i="1"/>
  <c r="EE5" i="3" s="1"/>
  <c r="E123" i="1"/>
  <c r="EF5" i="3" s="1"/>
  <c r="E124" i="1"/>
  <c r="EG5" i="3" s="1"/>
  <c r="E125" i="1"/>
  <c r="EJ5" i="3" s="1"/>
  <c r="E126" i="1"/>
  <c r="EK5" i="3" s="1"/>
  <c r="E127" i="1"/>
  <c r="EL5" i="3" s="1"/>
  <c r="E128" i="1"/>
  <c r="EM5" i="3" s="1"/>
  <c r="E129" i="1"/>
  <c r="EN5" i="3" s="1"/>
  <c r="E130" i="1"/>
  <c r="EO5" i="3" s="1"/>
  <c r="E131" i="1"/>
  <c r="EP5" i="3" s="1"/>
  <c r="E132" i="1"/>
  <c r="EQ5" i="3" s="1"/>
  <c r="E133" i="1"/>
  <c r="ER5" i="3" s="1"/>
  <c r="E134" i="1"/>
  <c r="ES5" i="3" s="1"/>
  <c r="E135" i="1"/>
  <c r="EV5" i="3" s="1"/>
  <c r="E136" i="1"/>
  <c r="EW5" i="3" s="1"/>
  <c r="E137" i="1"/>
  <c r="EX5" i="3" s="1"/>
  <c r="E138" i="1"/>
  <c r="EY5" i="3" s="1"/>
  <c r="E139" i="1"/>
  <c r="EZ5" i="3" s="1"/>
  <c r="E140" i="1"/>
  <c r="FA5" i="3" s="1"/>
  <c r="E141" i="1"/>
  <c r="FB5" i="3" s="1"/>
  <c r="E142" i="1"/>
  <c r="FC5" i="3" s="1"/>
  <c r="E143" i="1"/>
  <c r="FD5" i="3" s="1"/>
  <c r="E144" i="1"/>
  <c r="FE5" i="3" s="1"/>
  <c r="E145" i="1"/>
  <c r="FF5" i="3" s="1"/>
  <c r="E146" i="1"/>
  <c r="FG5" i="3" s="1"/>
  <c r="E147" i="1"/>
  <c r="FH5" i="3" s="1"/>
  <c r="E148" i="1"/>
  <c r="FI5" i="3" s="1"/>
  <c r="E149" i="1"/>
  <c r="FJ5" i="3" s="1"/>
  <c r="E150" i="1"/>
  <c r="FK5" i="3" s="1"/>
  <c r="E151" i="1"/>
  <c r="FL5" i="3" s="1"/>
  <c r="E152" i="1"/>
  <c r="FM5" i="3" s="1"/>
  <c r="E153" i="1"/>
  <c r="FN5" i="3" s="1"/>
  <c r="E154" i="1"/>
  <c r="FO5" i="3" s="1"/>
  <c r="E155" i="1"/>
  <c r="FP5" i="3" s="1"/>
  <c r="E156" i="1"/>
  <c r="FQ5" i="3" s="1"/>
  <c r="E157" i="1"/>
  <c r="FT5" i="3" s="1"/>
  <c r="E158" i="1"/>
  <c r="FU5" i="3" s="1"/>
  <c r="E159" i="1"/>
  <c r="FV5" i="3" s="1"/>
  <c r="E160" i="1"/>
  <c r="FW5" i="3" s="1"/>
  <c r="E161" i="1"/>
  <c r="FX5" i="3" s="1"/>
  <c r="E162" i="1"/>
  <c r="FY5" i="3" s="1"/>
  <c r="E163" i="1"/>
  <c r="FZ5" i="3" s="1"/>
  <c r="E164" i="1"/>
  <c r="GA5" i="3" s="1"/>
</calcChain>
</file>

<file path=xl/sharedStrings.xml><?xml version="1.0" encoding="utf-8"?>
<sst xmlns="http://schemas.openxmlformats.org/spreadsheetml/2006/main" count="845" uniqueCount="346">
  <si>
    <t>Kindly Paste your input data (163 fields) below here</t>
  </si>
  <si>
    <t>ID</t>
  </si>
  <si>
    <t>DB ID</t>
  </si>
  <si>
    <t>Parameter</t>
  </si>
  <si>
    <t>Input Data</t>
  </si>
  <si>
    <t>Company Name</t>
  </si>
  <si>
    <t>Short Name</t>
  </si>
  <si>
    <t>Logo</t>
  </si>
  <si>
    <t>Category</t>
  </si>
  <si>
    <t>Year of Incorporation</t>
  </si>
  <si>
    <t>Overview of the Company</t>
  </si>
  <si>
    <t>Nature of Company</t>
  </si>
  <si>
    <t>Company Headquarters</t>
  </si>
  <si>
    <t>Countries Operating In</t>
  </si>
  <si>
    <t>Number of Offices (beyond HQ)</t>
  </si>
  <si>
    <t>Office Locations</t>
  </si>
  <si>
    <t>Employee Size</t>
  </si>
  <si>
    <t>Hiring Velocity</t>
  </si>
  <si>
    <t>Employee Turnover</t>
  </si>
  <si>
    <t>Average Retention Tenure</t>
  </si>
  <si>
    <t>Pain Points Being Addressed</t>
  </si>
  <si>
    <t>Focus Sectors / Industries</t>
  </si>
  <si>
    <t>Services / Offerings / Products</t>
  </si>
  <si>
    <t>Top Customers by Client Segments</t>
  </si>
  <si>
    <t>Core Value Proposition</t>
  </si>
  <si>
    <t>Vision</t>
  </si>
  <si>
    <t>Mission</t>
  </si>
  <si>
    <t>Values</t>
  </si>
  <si>
    <t>Unique Differentiators</t>
  </si>
  <si>
    <t>Competitive Advantages</t>
  </si>
  <si>
    <t>Weaknesses / Gaps in Offering</t>
  </si>
  <si>
    <t>Key Challenges and Unmet Needs</t>
  </si>
  <si>
    <t>Key Competitors</t>
  </si>
  <si>
    <t>Technology Partners</t>
  </si>
  <si>
    <t>Interesting Facts</t>
  </si>
  <si>
    <t>Recent News</t>
  </si>
  <si>
    <t>Website URL</t>
  </si>
  <si>
    <t>Quality of Website</t>
  </si>
  <si>
    <t>Website Rating</t>
  </si>
  <si>
    <t>Website Traffic Rank</t>
  </si>
  <si>
    <t>Social Media Followers – Combined</t>
  </si>
  <si>
    <t>Glassdoor Rating</t>
  </si>
  <si>
    <t>Indeed Rating</t>
  </si>
  <si>
    <t>Google Reviews Rating</t>
  </si>
  <si>
    <t>LinkedIn Profile URL</t>
  </si>
  <si>
    <t>Twitter (X) Handle</t>
  </si>
  <si>
    <t>Facebook Page URL</t>
  </si>
  <si>
    <t>Instagram Page URL</t>
  </si>
  <si>
    <t>CEO Name</t>
  </si>
  <si>
    <t>CEO LinkedIn URL</t>
  </si>
  <si>
    <t>Key Business Leaders</t>
  </si>
  <si>
    <t>Warm Introduction Pathways</t>
  </si>
  <si>
    <t>Decision Maker Accessibility</t>
  </si>
  <si>
    <t>Company Contact Email</t>
  </si>
  <si>
    <t>Company Phone Number</t>
  </si>
  <si>
    <t>Primary Contact Person's Name</t>
  </si>
  <si>
    <t>Primary Contact Person's Title</t>
  </si>
  <si>
    <t>Primary Contact Person's Email</t>
  </si>
  <si>
    <t>Primary Contact Person's Phone Number</t>
  </si>
  <si>
    <t>Awards &amp; Recognitions</t>
  </si>
  <si>
    <t>Brand Sentiment Score</t>
  </si>
  <si>
    <t>Event Participation</t>
  </si>
  <si>
    <t>Regulatory &amp; Compliance Status</t>
  </si>
  <si>
    <t>Legal Issues / Controversies</t>
  </si>
  <si>
    <t>Annual Revenues</t>
  </si>
  <si>
    <t>Annual Profits</t>
  </si>
  <si>
    <t>Revenue Mix</t>
  </si>
  <si>
    <t>Company Valuation</t>
  </si>
  <si>
    <t>Year-over-Year Growth Rate</t>
  </si>
  <si>
    <t>Profitability Status</t>
  </si>
  <si>
    <t>Market Share (%)</t>
  </si>
  <si>
    <t>Key Investors / Backers</t>
  </si>
  <si>
    <t>Recent Funding Rounds</t>
  </si>
  <si>
    <t>Total Capital Raised</t>
  </si>
  <si>
    <t>ESG Practices or Ratings</t>
  </si>
  <si>
    <t>Sales Motion</t>
  </si>
  <si>
    <t>Customer Acquisition Cost (CAC)</t>
  </si>
  <si>
    <t>Customer Lifetime Value (CLV)</t>
  </si>
  <si>
    <t>CAC:LTV Ratio</t>
  </si>
  <si>
    <t>Churn Rate</t>
  </si>
  <si>
    <t>Net Promoter Score (NPS)</t>
  </si>
  <si>
    <t>Customer Concentration Risk</t>
  </si>
  <si>
    <t>Burn Rate</t>
  </si>
  <si>
    <t>Runway</t>
  </si>
  <si>
    <t>Burn Multiplier</t>
  </si>
  <si>
    <t>Intellectual Property</t>
  </si>
  <si>
    <t>R&amp;D Investment</t>
  </si>
  <si>
    <t>AI/ML Adoption Level</t>
  </si>
  <si>
    <t>Tech Stack/Tools Used</t>
  </si>
  <si>
    <t>Cybersecurity Posture</t>
  </si>
  <si>
    <t>Supply Chain Dependencies</t>
  </si>
  <si>
    <t>Geopolitical Risks</t>
  </si>
  <si>
    <t>Macro Risks</t>
  </si>
  <si>
    <t>Diversity Metrics</t>
  </si>
  <si>
    <t>Remote Work Policy</t>
  </si>
  <si>
    <t>Training/Development Spend</t>
  </si>
  <si>
    <t>Partnership Ecosystem</t>
  </si>
  <si>
    <t>Exit Strategy/History</t>
  </si>
  <si>
    <t>Carbon Footprint/Environmental Impact</t>
  </si>
  <si>
    <t>Ethical Sourcing Practices</t>
  </si>
  <si>
    <t>Benchmark vs. Peers</t>
  </si>
  <si>
    <t>Future Projections</t>
  </si>
  <si>
    <t>Strategic Priorities</t>
  </si>
  <si>
    <t>Industry Associations / Memberships</t>
  </si>
  <si>
    <t>Case Studies / Public Success Stories</t>
  </si>
  <si>
    <t>Go-to-Market Strategy</t>
  </si>
  <si>
    <t xml:space="preserve">Innovation Roadmap </t>
  </si>
  <si>
    <t>Product Pipeline</t>
  </si>
  <si>
    <t>Board of Directors / Advisors</t>
  </si>
  <si>
    <t>Company Introduction / Marketing videos</t>
  </si>
  <si>
    <t>Customer testimonial</t>
  </si>
  <si>
    <t>Industry Benchmark Technology Adoption Rating</t>
  </si>
  <si>
    <t>Total Addressable Market (TAM)</t>
  </si>
  <si>
    <t>Serviceable Addressable Market (SAM)</t>
  </si>
  <si>
    <t>Serviceable Obtainable Market (SOM)</t>
  </si>
  <si>
    <t>Work culture</t>
  </si>
  <si>
    <t>Manager quality</t>
  </si>
  <si>
    <t>Psychological safety</t>
  </si>
  <si>
    <t>Feedback culture</t>
  </si>
  <si>
    <t>Diversity &amp; inclusion</t>
  </si>
  <si>
    <t>Ethical standards</t>
  </si>
  <si>
    <t>Typical working hours</t>
  </si>
  <si>
    <t>Overtime expectations</t>
  </si>
  <si>
    <t>Weekend work</t>
  </si>
  <si>
    <t>Remote / hybrid / on-site flexibility</t>
  </si>
  <si>
    <t>Leave policy</t>
  </si>
  <si>
    <t>Burnout risk</t>
  </si>
  <si>
    <t>Central vs peripheral location</t>
  </si>
  <si>
    <t>Public transport access</t>
  </si>
  <si>
    <t>Cab availability and company cab policy</t>
  </si>
  <si>
    <t>Commute time from airport</t>
  </si>
  <si>
    <t>Office zone type</t>
  </si>
  <si>
    <t>Area safety</t>
  </si>
  <si>
    <t>Company safety policies</t>
  </si>
  <si>
    <t>Office infrastructure safety</t>
  </si>
  <si>
    <t>Emergency response preparedness</t>
  </si>
  <si>
    <t>Health support</t>
  </si>
  <si>
    <t>Onboarding and training quality</t>
  </si>
  <si>
    <t>Learning culture</t>
  </si>
  <si>
    <t>Exposure quality</t>
  </si>
  <si>
    <t>Mentorship availability</t>
  </si>
  <si>
    <t>Internal mobility</t>
  </si>
  <si>
    <t>Promotion clarity</t>
  </si>
  <si>
    <t>Tools and technology access</t>
  </si>
  <si>
    <t>Role clarity</t>
  </si>
  <si>
    <t>Early ownership</t>
  </si>
  <si>
    <t>Work impact</t>
  </si>
  <si>
    <t>Execution vs thinking balance</t>
  </si>
  <si>
    <t>Automation level</t>
  </si>
  <si>
    <t>Cross-functional exposure</t>
  </si>
  <si>
    <t>Company maturity</t>
  </si>
  <si>
    <t>Brand value</t>
  </si>
  <si>
    <t>Client quality</t>
  </si>
  <si>
    <t>Layoff history</t>
  </si>
  <si>
    <t>Fixed vs variable pay</t>
  </si>
  <si>
    <t>Bonus predictability</t>
  </si>
  <si>
    <t>ESOPs and long-term incentives</t>
  </si>
  <si>
    <t>Family health insurance</t>
  </si>
  <si>
    <t>Relocation support</t>
  </si>
  <si>
    <t>Lifestyle and wellness benefits</t>
  </si>
  <si>
    <t>Exit opportunities</t>
  </si>
  <si>
    <t>Skill relevance</t>
  </si>
  <si>
    <t>External recognition</t>
  </si>
  <si>
    <t>Network strength</t>
  </si>
  <si>
    <t>Global exposure</t>
  </si>
  <si>
    <t>Mission clarity</t>
  </si>
  <si>
    <t>Sustainability and CSR</t>
  </si>
  <si>
    <t>Crisis behavior</t>
  </si>
  <si>
    <t>Sr.No.</t>
  </si>
  <si>
    <t>Table Name</t>
  </si>
  <si>
    <t>Column Name (snake_case)</t>
  </si>
  <si>
    <t>Result</t>
  </si>
  <si>
    <t>companies</t>
  </si>
  <si>
    <t>name</t>
  </si>
  <si>
    <t>short_name</t>
  </si>
  <si>
    <t>logo_url</t>
  </si>
  <si>
    <t>category</t>
  </si>
  <si>
    <t>incorporation_year</t>
  </si>
  <si>
    <t>overview_text</t>
  </si>
  <si>
    <t>nature_of_company</t>
  </si>
  <si>
    <t>headquarters_address</t>
  </si>
  <si>
    <t>operating_countries</t>
  </si>
  <si>
    <t>office_count</t>
  </si>
  <si>
    <t>office_locations</t>
  </si>
  <si>
    <t>employee_size</t>
  </si>
  <si>
    <t>vision_statement</t>
  </si>
  <si>
    <t>mission_statement</t>
  </si>
  <si>
    <t>core_values</t>
  </si>
  <si>
    <t>history_timeline</t>
  </si>
  <si>
    <t>recent_news</t>
  </si>
  <si>
    <t>website_url</t>
  </si>
  <si>
    <t>linkedin_url</t>
  </si>
  <si>
    <t>twitter_handle</t>
  </si>
  <si>
    <t>facebook_url</t>
  </si>
  <si>
    <t>instagram_url</t>
  </si>
  <si>
    <t>primary_contact_email</t>
  </si>
  <si>
    <t>primary_phone_number</t>
  </si>
  <si>
    <t>regulatory_status</t>
  </si>
  <si>
    <t>legal_issues</t>
  </si>
  <si>
    <t>esg_ratings</t>
  </si>
  <si>
    <t>supply_chain_dependencies</t>
  </si>
  <si>
    <t>geopolitical_risks</t>
  </si>
  <si>
    <t>macro_risks</t>
  </si>
  <si>
    <t>carbon_footprint</t>
  </si>
  <si>
    <t>ethical_sourcing</t>
  </si>
  <si>
    <t>marketing_video_url</t>
  </si>
  <si>
    <t>customer_testimonials</t>
  </si>
  <si>
    <t>company_brand_reputation</t>
  </si>
  <si>
    <t>website_quality</t>
  </si>
  <si>
    <t>website_rating</t>
  </si>
  <si>
    <t>website_traffic_rank</t>
  </si>
  <si>
    <t>social_media_followers</t>
  </si>
  <si>
    <t>glassdoor_rating</t>
  </si>
  <si>
    <t>indeed_rating</t>
  </si>
  <si>
    <t>google_rating</t>
  </si>
  <si>
    <t>awards_recognitions</t>
  </si>
  <si>
    <t>brand_sentiment_score</t>
  </si>
  <si>
    <t>event_participation</t>
  </si>
  <si>
    <t>company_business</t>
  </si>
  <si>
    <t>pain_points_addressed</t>
  </si>
  <si>
    <t>focus_sectors</t>
  </si>
  <si>
    <t>offerings_description</t>
  </si>
  <si>
    <t>top_customers</t>
  </si>
  <si>
    <t>core_value_proposition</t>
  </si>
  <si>
    <t>unique_differentiators</t>
  </si>
  <si>
    <t>competitive_advantages</t>
  </si>
  <si>
    <t>weaknesses_gaps</t>
  </si>
  <si>
    <t>key_challenges_needs</t>
  </si>
  <si>
    <t>key_competitors</t>
  </si>
  <si>
    <t>market_share_percentage</t>
  </si>
  <si>
    <t>sales_motion</t>
  </si>
  <si>
    <t>customer_concentration_risk</t>
  </si>
  <si>
    <t>exit_strategy_history</t>
  </si>
  <si>
    <t>benchmark_vs_peers</t>
  </si>
  <si>
    <t>future_projections</t>
  </si>
  <si>
    <t>strategic_priorities</t>
  </si>
  <si>
    <t>industry_associations</t>
  </si>
  <si>
    <t>case_studies</t>
  </si>
  <si>
    <t>go_to_market_strategy</t>
  </si>
  <si>
    <t>innovation_roadmap</t>
  </si>
  <si>
    <t>product_pipeline</t>
  </si>
  <si>
    <t>tam</t>
  </si>
  <si>
    <t>sam</t>
  </si>
  <si>
    <t>som</t>
  </si>
  <si>
    <t>company_compensation</t>
  </si>
  <si>
    <t>leave_policy</t>
  </si>
  <si>
    <t>health_support</t>
  </si>
  <si>
    <t>fixed_vs_variable_pay</t>
  </si>
  <si>
    <t>bonus_predictability</t>
  </si>
  <si>
    <t>esops_incentives</t>
  </si>
  <si>
    <t>family_health_insurance</t>
  </si>
  <si>
    <t>relocation_support</t>
  </si>
  <si>
    <t>lifestyle_benefits</t>
  </si>
  <si>
    <t>company_culture</t>
  </si>
  <si>
    <t>hiring_velocity</t>
  </si>
  <si>
    <t>employee_turnover</t>
  </si>
  <si>
    <t>avg_retention_tenure</t>
  </si>
  <si>
    <t>diversity_metrics</t>
  </si>
  <si>
    <t>work_culture_summary</t>
  </si>
  <si>
    <t>manager_quality</t>
  </si>
  <si>
    <t>psychological_safety</t>
  </si>
  <si>
    <t>feedback_culture</t>
  </si>
  <si>
    <t>diversity_inclusion_score</t>
  </si>
  <si>
    <t>ethical_standards</t>
  </si>
  <si>
    <t>burnout_risk</t>
  </si>
  <si>
    <t>layoff_history</t>
  </si>
  <si>
    <t>mission_clarity</t>
  </si>
  <si>
    <t>sustainability_csr</t>
  </si>
  <si>
    <t>crisis_behavior</t>
  </si>
  <si>
    <t>company_financials</t>
  </si>
  <si>
    <t>annual_revenue</t>
  </si>
  <si>
    <t>annual_profit</t>
  </si>
  <si>
    <t>revenue_mix</t>
  </si>
  <si>
    <t>valuation</t>
  </si>
  <si>
    <t>yoy_growth_rate</t>
  </si>
  <si>
    <t>profitability_status</t>
  </si>
  <si>
    <t>key_investors</t>
  </si>
  <si>
    <t>recent_funding_rounds</t>
  </si>
  <si>
    <t>total_capital_raised</t>
  </si>
  <si>
    <t>customer_acquisition_cost</t>
  </si>
  <si>
    <t>customer_lifetime_value</t>
  </si>
  <si>
    <t>cac_ltv_ratio</t>
  </si>
  <si>
    <t>churn_rate</t>
  </si>
  <si>
    <t>net_promoter_score</t>
  </si>
  <si>
    <t>burn_rate</t>
  </si>
  <si>
    <t>runway_months</t>
  </si>
  <si>
    <t>burn_multiplier</t>
  </si>
  <si>
    <t>company_logistics</t>
  </si>
  <si>
    <t>remote_policy_details</t>
  </si>
  <si>
    <t>typical_hours</t>
  </si>
  <si>
    <t>overtime_expectations</t>
  </si>
  <si>
    <t>weekend_work</t>
  </si>
  <si>
    <t>flexibility_level</t>
  </si>
  <si>
    <t>location_centrality</t>
  </si>
  <si>
    <t>public_transport_access</t>
  </si>
  <si>
    <t>cab_policy</t>
  </si>
  <si>
    <t>airport_commute_time</t>
  </si>
  <si>
    <t>office_zone_type</t>
  </si>
  <si>
    <t>area_safety</t>
  </si>
  <si>
    <t>safety_policies</t>
  </si>
  <si>
    <t>infrastructure_safety</t>
  </si>
  <si>
    <t>emergency_preparedness</t>
  </si>
  <si>
    <t>company_people</t>
  </si>
  <si>
    <t>ceo_name</t>
  </si>
  <si>
    <t>ceo_linkedin_url</t>
  </si>
  <si>
    <t>key_leaders</t>
  </si>
  <si>
    <t>warm_intro_pathways</t>
  </si>
  <si>
    <t>decision_maker_access</t>
  </si>
  <si>
    <t>contact_person_name</t>
  </si>
  <si>
    <t>contact_person_title</t>
  </si>
  <si>
    <t>contact_person_email</t>
  </si>
  <si>
    <t>contact_person_phone</t>
  </si>
  <si>
    <t>board_members</t>
  </si>
  <si>
    <t>company_talent_growth</t>
  </si>
  <si>
    <t>training_spend</t>
  </si>
  <si>
    <t>onboarding_quality</t>
  </si>
  <si>
    <t>learning_culture</t>
  </si>
  <si>
    <t>exposure_quality</t>
  </si>
  <si>
    <t>mentorship_availability</t>
  </si>
  <si>
    <t>internal_mobility</t>
  </si>
  <si>
    <t>promotion_clarity</t>
  </si>
  <si>
    <t>tools_access</t>
  </si>
  <si>
    <t>role_clarity</t>
  </si>
  <si>
    <t>early_ownership</t>
  </si>
  <si>
    <t>work_impact</t>
  </si>
  <si>
    <t>execution_thinking_balance</t>
  </si>
  <si>
    <t>automation_level</t>
  </si>
  <si>
    <t>cross_functional_exposure</t>
  </si>
  <si>
    <t>company_maturity</t>
  </si>
  <si>
    <t>brand_value</t>
  </si>
  <si>
    <t>client_quality</t>
  </si>
  <si>
    <t>exit_opportunities</t>
  </si>
  <si>
    <t>skill_relevance</t>
  </si>
  <si>
    <t>external_recognition</t>
  </si>
  <si>
    <t>network_strength</t>
  </si>
  <si>
    <t>global_exposure</t>
  </si>
  <si>
    <t>company_technologies</t>
  </si>
  <si>
    <t>technology_partners</t>
  </si>
  <si>
    <t>intellectual_property</t>
  </si>
  <si>
    <t>r_and_d_investment</t>
  </si>
  <si>
    <t>ai_ml_adoption_level</t>
  </si>
  <si>
    <t>tech_stack</t>
  </si>
  <si>
    <t>cybersecurity_posture</t>
  </si>
  <si>
    <t>partnership_ecosystem</t>
  </si>
  <si>
    <t>tech_adoption_rating</t>
  </si>
  <si>
    <t>company_id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</si>
</sst>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D62397-FEEE-4B64-9E54-C95664F9EE03}" name="Table2" displayName="Table2" ref="A2:D165" totalsRowShown="0">
  <autoFilter ref="A2:D165" xr:uid="{E6D62397-FEEE-4B64-9E54-C95664F9EE03}"/>
  <tableColumns count="4">
    <tableColumn id="1" xr3:uid="{68E0A30C-6D9D-498E-8BF6-9455321441F5}" name="ID"/>
    <tableColumn id="3" xr3:uid="{607941A4-62A0-4CC4-9F74-32A89614E93F}" name="DB ID" dataDxfId="1"/>
    <tableColumn id="2" xr3:uid="{6798AA87-BECB-4D84-91E2-DACFAD6EB268}" name="Parameter"/>
    <tableColumn id="4" xr3:uid="{A7CD9E92-5BDB-4B87-8FC8-884B21D24B63}" name="Input 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92BB30-4CF6-4134-95C7-CC894B035320}" name="Table1" displayName="Table1" ref="A1:E164" totalsRowShown="0">
  <autoFilter ref="A1:E164" xr:uid="{E792BB30-4CF6-4134-95C7-CC894B035320}"/>
  <tableColumns count="5">
    <tableColumn id="1" xr3:uid="{9B64C074-98B3-4DEF-8ECC-4BD52427D722}" name="DB ID"/>
    <tableColumn id="2" xr3:uid="{AC78AFBC-9DD3-481A-8802-3DA028E8F425}" name="Sr.No."/>
    <tableColumn id="4" xr3:uid="{2889CC44-DDC2-48F3-9DB0-5511D99A8FCB}" name="Table Name"/>
    <tableColumn id="5" xr3:uid="{B9566447-7816-48D3-A88F-DA128B881EC6}" name="Column Name (snake_case)"/>
    <tableColumn id="6" xr3:uid="{5FB98C8B-F0C3-40D4-92C9-ABB5D773A22E}" name="Result" dataDxfId="0">
      <calculatedColumnFormula>_xlfn.XLOOKUP(Table1[[#This Row],[DB ID]],Table2[DB ID],Table2[Input Data],"XLookUp Not Found")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DD8C21-E081-431D-BC6E-BB8E9C40CF79}" name="Table3" displayName="Table3" ref="B4:AJ5" totalsRowShown="0">
  <autoFilter ref="B4:AJ5" xr:uid="{25DD8C21-E081-431D-BC6E-BB8E9C40CF79}"/>
  <tableColumns count="35">
    <tableColumn id="1" xr3:uid="{B352129B-1779-4078-8605-54EA55C46BB0}" name="company_id"/>
    <tableColumn id="2" xr3:uid="{FECBF317-9755-4305-99C3-F71DABCA2E68}" name="name">
      <calculatedColumnFormula>_xlfn.XLOOKUP(C$2,Table1[DB ID],Table1[Result],"ZZZZZ")</calculatedColumnFormula>
    </tableColumn>
    <tableColumn id="3" xr3:uid="{60E61692-E871-46A1-8A0B-3CD5E4DFB195}" name="short_name">
      <calculatedColumnFormula>_xlfn.XLOOKUP(D$2,Table1[DB ID],Table1[Result],"ZZZZZ")</calculatedColumnFormula>
    </tableColumn>
    <tableColumn id="4" xr3:uid="{98BB2422-A786-4B1A-A9DF-BF3B2957590A}" name="logo_url">
      <calculatedColumnFormula>_xlfn.XLOOKUP(E$2,Table1[DB ID],Table1[Result],"ZZZZZ")</calculatedColumnFormula>
    </tableColumn>
    <tableColumn id="5" xr3:uid="{EF4DAD4A-ED50-4535-9744-D0037E72885B}" name="category">
      <calculatedColumnFormula>_xlfn.XLOOKUP(F$2,Table1[DB ID],Table1[Result],"ZZZZZ")</calculatedColumnFormula>
    </tableColumn>
    <tableColumn id="6" xr3:uid="{BDABEE09-0B28-413C-9075-8551FECB6B20}" name="incorporation_year">
      <calculatedColumnFormula>_xlfn.XLOOKUP(G$2,Table1[DB ID],Table1[Result],"ZZZZZ")</calculatedColumnFormula>
    </tableColumn>
    <tableColumn id="7" xr3:uid="{0292F9F1-3670-4D41-B4D6-91805976B671}" name="overview_text">
      <calculatedColumnFormula>_xlfn.XLOOKUP(H$2,Table1[DB ID],Table1[Result],"ZZZZZ")</calculatedColumnFormula>
    </tableColumn>
    <tableColumn id="8" xr3:uid="{23C52762-AD07-4C20-ABEA-0B94903121F8}" name="nature_of_company">
      <calculatedColumnFormula>_xlfn.XLOOKUP(I$2,Table1[DB ID],Table1[Result],"ZZZZZ")</calculatedColumnFormula>
    </tableColumn>
    <tableColumn id="9" xr3:uid="{8F68CCD0-B8F8-4521-AFDF-5A94FBBFB24C}" name="headquarters_address">
      <calculatedColumnFormula>_xlfn.XLOOKUP(J$2,Table1[DB ID],Table1[Result],"ZZZZZ")</calculatedColumnFormula>
    </tableColumn>
    <tableColumn id="10" xr3:uid="{31F8F40E-ECF6-4DBF-8DD5-F8F0B3211858}" name="operating_countries">
      <calculatedColumnFormula>_xlfn.XLOOKUP(K$2,Table1[DB ID],Table1[Result],"ZZZZZ")</calculatedColumnFormula>
    </tableColumn>
    <tableColumn id="11" xr3:uid="{0DD26F14-BBF2-409E-B436-0017002A3153}" name="office_count">
      <calculatedColumnFormula>_xlfn.XLOOKUP(L$2,Table1[DB ID],Table1[Result],"ZZZZZ")</calculatedColumnFormula>
    </tableColumn>
    <tableColumn id="12" xr3:uid="{95E02A57-FA2E-4556-9CA4-243E09BBF5A4}" name="office_locations">
      <calculatedColumnFormula>_xlfn.XLOOKUP(M$2,Table1[DB ID],Table1[Result],"ZZZZZ")</calculatedColumnFormula>
    </tableColumn>
    <tableColumn id="13" xr3:uid="{085BD546-D46A-430D-9122-EEADD5176307}" name="employee_size">
      <calculatedColumnFormula>_xlfn.XLOOKUP(N$2,Table1[DB ID],Table1[Result],"ZZZZZ")</calculatedColumnFormula>
    </tableColumn>
    <tableColumn id="14" xr3:uid="{0DD204D6-4CBC-4AB3-93E4-46589C7431B5}" name="vision_statement">
      <calculatedColumnFormula>_xlfn.XLOOKUP(O$2,Table1[DB ID],Table1[Result],"ZZZZZ")</calculatedColumnFormula>
    </tableColumn>
    <tableColumn id="15" xr3:uid="{B7EE4071-84CD-4D64-8FE1-D33FEF9A067F}" name="mission_statement">
      <calculatedColumnFormula>_xlfn.XLOOKUP(P$2,Table1[DB ID],Table1[Result],"ZZZZZ")</calculatedColumnFormula>
    </tableColumn>
    <tableColumn id="16" xr3:uid="{B985C9D8-54F2-4821-A278-7A63FFC93E98}" name="core_values">
      <calculatedColumnFormula>_xlfn.XLOOKUP(Q$2,Table1[DB ID],Table1[Result],"ZZZZZ")</calculatedColumnFormula>
    </tableColumn>
    <tableColumn id="17" xr3:uid="{E9454FF6-9BF6-4136-A5E8-DE23045A6763}" name="history_timeline">
      <calculatedColumnFormula>_xlfn.XLOOKUP(R$2,Table1[DB ID],Table1[Result],"ZZZZZ")</calculatedColumnFormula>
    </tableColumn>
    <tableColumn id="18" xr3:uid="{44844698-F7A0-4F35-B928-41A1F2E22DEA}" name="recent_news">
      <calculatedColumnFormula>_xlfn.XLOOKUP(S$2,Table1[DB ID],Table1[Result],"ZZZZZ")</calculatedColumnFormula>
    </tableColumn>
    <tableColumn id="19" xr3:uid="{24AC73EB-CF13-4264-8885-FCE64615C2F2}" name="website_url">
      <calculatedColumnFormula>_xlfn.XLOOKUP(T$2,Table1[DB ID],Table1[Result],"ZZZZZ")</calculatedColumnFormula>
    </tableColumn>
    <tableColumn id="20" xr3:uid="{CF0AD767-8A68-4CB0-9F67-35D6735DF2FA}" name="linkedin_url">
      <calculatedColumnFormula>_xlfn.XLOOKUP(U$2,Table1[DB ID],Table1[Result],"ZZZZZ")</calculatedColumnFormula>
    </tableColumn>
    <tableColumn id="21" xr3:uid="{E6306959-25D8-4D64-8F68-2B10E4ABF58E}" name="twitter_handle">
      <calculatedColumnFormula>_xlfn.XLOOKUP(V$2,Table1[DB ID],Table1[Result],"ZZZZZ")</calculatedColumnFormula>
    </tableColumn>
    <tableColumn id="22" xr3:uid="{44CD2E3A-97A4-4434-A947-50811569DE76}" name="facebook_url">
      <calculatedColumnFormula>_xlfn.XLOOKUP(W$2,Table1[DB ID],Table1[Result],"ZZZZZ")</calculatedColumnFormula>
    </tableColumn>
    <tableColumn id="23" xr3:uid="{13826DFE-AD89-4EA0-927A-4E45A0C05150}" name="instagram_url">
      <calculatedColumnFormula>_xlfn.XLOOKUP(X$2,Table1[DB ID],Table1[Result],"ZZZZZ")</calculatedColumnFormula>
    </tableColumn>
    <tableColumn id="24" xr3:uid="{8F9D3472-E929-4417-B5AF-1B5A2A16E3E8}" name="primary_contact_email">
      <calculatedColumnFormula>_xlfn.XLOOKUP(Y$2,Table1[DB ID],Table1[Result],"ZZZZZ")</calculatedColumnFormula>
    </tableColumn>
    <tableColumn id="25" xr3:uid="{E207FB00-48A0-4A8E-A04C-83D53659E6D3}" name="primary_phone_number">
      <calculatedColumnFormula>_xlfn.XLOOKUP(Z$2,Table1[DB ID],Table1[Result],"ZZZZZ")</calculatedColumnFormula>
    </tableColumn>
    <tableColumn id="26" xr3:uid="{4E0F9D19-F300-4465-8801-1643ADD46A47}" name="regulatory_status">
      <calculatedColumnFormula>_xlfn.XLOOKUP(AA$2,Table1[DB ID],Table1[Result],"ZZZZZ")</calculatedColumnFormula>
    </tableColumn>
    <tableColumn id="27" xr3:uid="{C04A8CB7-57D3-4652-B09D-9A242266C7CA}" name="legal_issues">
      <calculatedColumnFormula>_xlfn.XLOOKUP(AB$2,Table1[DB ID],Table1[Result],"ZZZZZ")</calculatedColumnFormula>
    </tableColumn>
    <tableColumn id="28" xr3:uid="{5581740B-B33D-4C42-A54A-11D1EC4DDC56}" name="esg_ratings">
      <calculatedColumnFormula>_xlfn.XLOOKUP(AC$2,Table1[DB ID],Table1[Result],"ZZZZZ")</calculatedColumnFormula>
    </tableColumn>
    <tableColumn id="29" xr3:uid="{8200C47E-7550-4FB4-A243-9D35181C44BF}" name="supply_chain_dependencies">
      <calculatedColumnFormula>_xlfn.XLOOKUP(AD$2,Table1[DB ID],Table1[Result],"ZZZZZ")</calculatedColumnFormula>
    </tableColumn>
    <tableColumn id="30" xr3:uid="{CF59FBF5-7D59-4FB8-B0EE-52A40E88F9D0}" name="geopolitical_risks">
      <calculatedColumnFormula>_xlfn.XLOOKUP(AE$2,Table1[DB ID],Table1[Result],"ZZZZZ")</calculatedColumnFormula>
    </tableColumn>
    <tableColumn id="31" xr3:uid="{BE312FFE-4C71-4AF5-AA16-290F1F888673}" name="macro_risks">
      <calculatedColumnFormula>_xlfn.XLOOKUP(AF$2,Table1[DB ID],Table1[Result],"ZZZZZ")</calculatedColumnFormula>
    </tableColumn>
    <tableColumn id="32" xr3:uid="{6A3415AD-8E72-432B-8C1A-456477217B2A}" name="carbon_footprint">
      <calculatedColumnFormula>_xlfn.XLOOKUP(AG$2,Table1[DB ID],Table1[Result],"ZZZZZ")</calculatedColumnFormula>
    </tableColumn>
    <tableColumn id="33" xr3:uid="{4B175041-A3BC-49B5-BD47-AFE99B8BBEF4}" name="ethical_sourcing">
      <calculatedColumnFormula>_xlfn.XLOOKUP(AH$2,Table1[DB ID],Table1[Result],"ZZZZZ")</calculatedColumnFormula>
    </tableColumn>
    <tableColumn id="34" xr3:uid="{984DEFA2-C737-413A-B6D2-92301160B088}" name="marketing_video_url">
      <calculatedColumnFormula>_xlfn.XLOOKUP(AI$2,Table1[DB ID],Table1[Result],"ZZZZZ")</calculatedColumnFormula>
    </tableColumn>
    <tableColumn id="35" xr3:uid="{77A7B8D6-82E4-40A4-A87D-BAA480CB6B9B}" name="customer_testimonials">
      <calculatedColumnFormula>_xlfn.XLOOKUP(AJ$2,Table1[DB ID],Table1[Result],"ZZZZZ")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0782B0-A3A9-4087-8B0B-66A850C2D2D6}" name="Table4" displayName="Table4" ref="AL4:AV5" totalsRowShown="0">
  <autoFilter ref="AL4:AV5" xr:uid="{310782B0-A3A9-4087-8B0B-66A850C2D2D6}"/>
  <tableColumns count="11">
    <tableColumn id="1" xr3:uid="{D6CDEAA7-30B6-4CF6-8ADD-57853F92F140}" name="company_id">
      <calculatedColumnFormula>Table3[[#This Row],[company_id]]</calculatedColumnFormula>
    </tableColumn>
    <tableColumn id="2" xr3:uid="{D419A184-F1DE-4796-9946-936B510FA837}" name="website_quality">
      <calculatedColumnFormula>_xlfn.XLOOKUP(AM$2,Table1[DB ID],Table1[Result],"ZZZZZ")</calculatedColumnFormula>
    </tableColumn>
    <tableColumn id="3" xr3:uid="{D16E0033-970E-4C3B-AD95-AEA0A3DED278}" name="website_rating">
      <calculatedColumnFormula>_xlfn.XLOOKUP(AN$2,Table1[DB ID],Table1[Result],"ZZZZZ")</calculatedColumnFormula>
    </tableColumn>
    <tableColumn id="4" xr3:uid="{D2732F8C-DF7A-43AA-A32C-3BCFD99A9638}" name="website_traffic_rank">
      <calculatedColumnFormula>_xlfn.XLOOKUP(AO$2,Table1[DB ID],Table1[Result],"ZZZZZ")</calculatedColumnFormula>
    </tableColumn>
    <tableColumn id="5" xr3:uid="{D3CF4F73-F5A0-4B12-8265-61D10AE21D22}" name="social_media_followers">
      <calculatedColumnFormula>_xlfn.XLOOKUP(AP$2,Table1[DB ID],Table1[Result],"ZZZZZ")</calculatedColumnFormula>
    </tableColumn>
    <tableColumn id="6" xr3:uid="{376D07B9-01A4-4FF1-B8BE-EF1407843381}" name="glassdoor_rating">
      <calculatedColumnFormula>_xlfn.XLOOKUP(AQ$2,Table1[DB ID],Table1[Result],"ZZZZZ")</calculatedColumnFormula>
    </tableColumn>
    <tableColumn id="7" xr3:uid="{A86BBB3C-30F6-4460-BD7F-65966BDF9389}" name="indeed_rating">
      <calculatedColumnFormula>_xlfn.XLOOKUP(AR$2,Table1[DB ID],Table1[Result],"ZZZZZ")</calculatedColumnFormula>
    </tableColumn>
    <tableColumn id="8" xr3:uid="{010FF38F-1EDF-45B8-81D8-2B2BB6E61928}" name="google_rating">
      <calculatedColumnFormula>_xlfn.XLOOKUP(AS$2,Table1[DB ID],Table1[Result],"ZZZZZ")</calculatedColumnFormula>
    </tableColumn>
    <tableColumn id="9" xr3:uid="{650D4A41-98D1-4056-8C4D-DF61A1EB179D}" name="awards_recognitions">
      <calculatedColumnFormula>_xlfn.XLOOKUP(AT$2,Table1[DB ID],Table1[Result],"ZZZZZ")</calculatedColumnFormula>
    </tableColumn>
    <tableColumn id="10" xr3:uid="{A99A64F6-78C1-455F-A9FD-8785121F99C7}" name="brand_sentiment_score">
      <calculatedColumnFormula>_xlfn.XLOOKUP(AU$2,Table1[DB ID],Table1[Result],"ZZZZZ")</calculatedColumnFormula>
    </tableColumn>
    <tableColumn id="11" xr3:uid="{78FA640F-11AD-4B8A-85EA-AEF1A03AF276}" name="event_participation">
      <calculatedColumnFormula>_xlfn.XLOOKUP(AV$2,Table1[DB ID],Table1[Result],"ZZZZZ")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DAB428-645B-48A3-A36E-EC37AB32838C}" name="Table5" displayName="Table5" ref="AX4:BW5" totalsRowShown="0">
  <autoFilter ref="AX4:BW5" xr:uid="{92DAB428-645B-48A3-A36E-EC37AB32838C}"/>
  <tableColumns count="26">
    <tableColumn id="1" xr3:uid="{F3A5A9EE-6401-4F79-98CC-6B2A9D337B57}" name="company_id">
      <calculatedColumnFormula>Table3[[#This Row],[company_id]]</calculatedColumnFormula>
    </tableColumn>
    <tableColumn id="2" xr3:uid="{DC206FFA-5229-4312-890A-25B2A0640681}" name="pain_points_addressed">
      <calculatedColumnFormula>_xlfn.XLOOKUP(AY$2,Table1[DB ID],Table1[Result],"ZZZZZ")</calculatedColumnFormula>
    </tableColumn>
    <tableColumn id="3" xr3:uid="{3BC869E3-DF1D-4C58-B125-9907A93EC13C}" name="focus_sectors">
      <calculatedColumnFormula>_xlfn.XLOOKUP(AZ$2,Table1[DB ID],Table1[Result],"ZZZZZ")</calculatedColumnFormula>
    </tableColumn>
    <tableColumn id="4" xr3:uid="{17BFDB12-6DFC-4509-A05D-C8365D5F1654}" name="offerings_description">
      <calculatedColumnFormula>_xlfn.XLOOKUP(BA$2,Table1[DB ID],Table1[Result],"ZZZZZ")</calculatedColumnFormula>
    </tableColumn>
    <tableColumn id="5" xr3:uid="{8A243C32-32A9-430C-9E62-52E3CA80E29C}" name="top_customers">
      <calculatedColumnFormula>_xlfn.XLOOKUP(BB$2,Table1[DB ID],Table1[Result],"ZZZZZ")</calculatedColumnFormula>
    </tableColumn>
    <tableColumn id="6" xr3:uid="{C4D5C4D7-84FF-4290-A5CB-E02E2859EEC1}" name="core_value_proposition">
      <calculatedColumnFormula>_xlfn.XLOOKUP(BC$2,Table1[DB ID],Table1[Result],"ZZZZZ")</calculatedColumnFormula>
    </tableColumn>
    <tableColumn id="7" xr3:uid="{F442575C-B88E-486E-827E-CA8B17F672C1}" name="unique_differentiators">
      <calculatedColumnFormula>_xlfn.XLOOKUP(BD$2,Table1[DB ID],Table1[Result],"ZZZZZ")</calculatedColumnFormula>
    </tableColumn>
    <tableColumn id="8" xr3:uid="{7CD935AC-3EDE-4AA7-9F05-255F9D0C99DF}" name="competitive_advantages">
      <calculatedColumnFormula>_xlfn.XLOOKUP(BE$2,Table1[DB ID],Table1[Result],"ZZZZZ")</calculatedColumnFormula>
    </tableColumn>
    <tableColumn id="9" xr3:uid="{728059FF-A5A3-4D23-A55F-06FA3A62EEF0}" name="weaknesses_gaps">
      <calculatedColumnFormula>_xlfn.XLOOKUP(BF$2,Table1[DB ID],Table1[Result],"ZZZZZ")</calculatedColumnFormula>
    </tableColumn>
    <tableColumn id="10" xr3:uid="{EB924BB8-F0B7-48EF-829E-7B54C19274F5}" name="key_challenges_needs">
      <calculatedColumnFormula>_xlfn.XLOOKUP(BG$2,Table1[DB ID],Table1[Result],"ZZZZZ")</calculatedColumnFormula>
    </tableColumn>
    <tableColumn id="11" xr3:uid="{C456CBA3-BC8F-498A-B3C9-5BD7BBDFDDD4}" name="key_competitors">
      <calculatedColumnFormula>_xlfn.XLOOKUP(BH$2,Table1[DB ID],Table1[Result],"ZZZZZ")</calculatedColumnFormula>
    </tableColumn>
    <tableColumn id="12" xr3:uid="{073565A2-D3C8-4476-8865-119388DA872A}" name="market_share_percentage">
      <calculatedColumnFormula>_xlfn.XLOOKUP(BI$2,Table1[DB ID],Table1[Result],"ZZZZZ")</calculatedColumnFormula>
    </tableColumn>
    <tableColumn id="13" xr3:uid="{8FEB5BFF-FD4F-4AA4-81D4-41F696BE04F7}" name="sales_motion">
      <calculatedColumnFormula>_xlfn.XLOOKUP(BJ$2,Table1[DB ID],Table1[Result],"ZZZZZ")</calculatedColumnFormula>
    </tableColumn>
    <tableColumn id="14" xr3:uid="{770F4097-332D-455F-84E3-85A3C3056E75}" name="customer_concentration_risk">
      <calculatedColumnFormula>_xlfn.XLOOKUP(BK$2,Table1[DB ID],Table1[Result],"ZZZZZ")</calculatedColumnFormula>
    </tableColumn>
    <tableColumn id="15" xr3:uid="{86060244-4631-4AA9-9744-1C73DA1B7E27}" name="exit_strategy_history">
      <calculatedColumnFormula>_xlfn.XLOOKUP(BL$2,Table1[DB ID],Table1[Result],"ZZZZZ")</calculatedColumnFormula>
    </tableColumn>
    <tableColumn id="16" xr3:uid="{50B68347-ED7D-4C4D-9B1F-182BFBECCA1B}" name="benchmark_vs_peers">
      <calculatedColumnFormula>_xlfn.XLOOKUP(BM$2,Table1[DB ID],Table1[Result],"ZZZZZ")</calculatedColumnFormula>
    </tableColumn>
    <tableColumn id="17" xr3:uid="{9107ACCA-A060-4124-B84A-4CC5DEA0C914}" name="future_projections">
      <calculatedColumnFormula>_xlfn.XLOOKUP(BN$2,Table1[DB ID],Table1[Result],"ZZZZZ")</calculatedColumnFormula>
    </tableColumn>
    <tableColumn id="18" xr3:uid="{6433098A-E78E-495F-B101-A3836BE9EFAF}" name="strategic_priorities">
      <calculatedColumnFormula>_xlfn.XLOOKUP(BO$2,Table1[DB ID],Table1[Result],"ZZZZZ")</calculatedColumnFormula>
    </tableColumn>
    <tableColumn id="19" xr3:uid="{6B9DF785-282B-42E4-92F5-B702869F0758}" name="industry_associations">
      <calculatedColumnFormula>_xlfn.XLOOKUP(BP$2,Table1[DB ID],Table1[Result],"ZZZZZ")</calculatedColumnFormula>
    </tableColumn>
    <tableColumn id="20" xr3:uid="{77F0A1BD-DB8A-4776-B83F-897233DFED6F}" name="case_studies">
      <calculatedColumnFormula>_xlfn.XLOOKUP(BQ$2,Table1[DB ID],Table1[Result],"ZZZZZ")</calculatedColumnFormula>
    </tableColumn>
    <tableColumn id="21" xr3:uid="{FA54AEF9-EFC9-4A71-8076-0A1917D17ED4}" name="go_to_market_strategy">
      <calculatedColumnFormula>_xlfn.XLOOKUP(BR$2,Table1[DB ID],Table1[Result],"ZZZZZ")</calculatedColumnFormula>
    </tableColumn>
    <tableColumn id="22" xr3:uid="{C0E03321-A68E-4085-ACAF-5FDCEE9182E5}" name="innovation_roadmap">
      <calculatedColumnFormula>_xlfn.XLOOKUP(BS$2,Table1[DB ID],Table1[Result],"ZZZZZ")</calculatedColumnFormula>
    </tableColumn>
    <tableColumn id="23" xr3:uid="{07E04C72-542F-416E-BDEC-2E78342DB9F4}" name="product_pipeline">
      <calculatedColumnFormula>_xlfn.XLOOKUP(BT$2,Table1[DB ID],Table1[Result],"ZZZZZ")</calculatedColumnFormula>
    </tableColumn>
    <tableColumn id="24" xr3:uid="{D5EBBA3A-F0D0-4AA0-912E-1509F5F39057}" name="tam">
      <calculatedColumnFormula>_xlfn.XLOOKUP(BU$2,Table1[DB ID],Table1[Result],"ZZZZZ")</calculatedColumnFormula>
    </tableColumn>
    <tableColumn id="25" xr3:uid="{F259C789-7749-42E8-B1EB-2D3329D4CEB7}" name="sam">
      <calculatedColumnFormula>_xlfn.XLOOKUP(BV$2,Table1[DB ID],Table1[Result],"ZZZZZ")</calculatedColumnFormula>
    </tableColumn>
    <tableColumn id="26" xr3:uid="{1EEB2198-5E9E-480A-A761-2C2EB061AAB4}" name="som">
      <calculatedColumnFormula>_xlfn.XLOOKUP(BW$2,Table1[DB ID],Table1[Result],"ZZZZZ")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0CF8A9-ECE0-4485-86DD-3B1D9A140F1C}" name="Table6" displayName="Table6" ref="BY4:CG5" totalsRowShown="0">
  <autoFilter ref="BY4:CG5" xr:uid="{400CF8A9-ECE0-4485-86DD-3B1D9A140F1C}"/>
  <tableColumns count="9">
    <tableColumn id="1" xr3:uid="{CF3AEAB4-3EEC-4FAD-896D-B97300CB3CBD}" name="company_id">
      <calculatedColumnFormula>Table3[[#This Row],[company_id]]</calculatedColumnFormula>
    </tableColumn>
    <tableColumn id="2" xr3:uid="{B65BBA37-4127-4287-899E-5991F8971B8F}" name="leave_policy">
      <calculatedColumnFormula>_xlfn.XLOOKUP(BZ$2,Table1[DB ID],Table1[Result],"ZZZZZ")</calculatedColumnFormula>
    </tableColumn>
    <tableColumn id="3" xr3:uid="{9E0CA28E-9BE5-4863-83F0-5C7D4CAB5987}" name="health_support">
      <calculatedColumnFormula>_xlfn.XLOOKUP(CA$2,Table1[DB ID],Table1[Result],"ZZZZZ")</calculatedColumnFormula>
    </tableColumn>
    <tableColumn id="4" xr3:uid="{83033707-7237-4CD7-AFF2-754B2EF6FA69}" name="fixed_vs_variable_pay">
      <calculatedColumnFormula>_xlfn.XLOOKUP(CB$2,Table1[DB ID],Table1[Result],"ZZZZZ")</calculatedColumnFormula>
    </tableColumn>
    <tableColumn id="5" xr3:uid="{687EF4BC-65DC-4FB3-8F7F-AE27D0381DE8}" name="bonus_predictability">
      <calculatedColumnFormula>_xlfn.XLOOKUP(CC$2,Table1[DB ID],Table1[Result],"ZZZZZ")</calculatedColumnFormula>
    </tableColumn>
    <tableColumn id="6" xr3:uid="{937CF104-2349-4EFF-BE47-03EC78BF6F26}" name="esops_incentives">
      <calculatedColumnFormula>_xlfn.XLOOKUP(CD$2,Table1[DB ID],Table1[Result],"ZZZZZ")</calculatedColumnFormula>
    </tableColumn>
    <tableColumn id="7" xr3:uid="{CA32ED18-F3D8-4D3E-9DB0-FBEC500394AA}" name="family_health_insurance">
      <calculatedColumnFormula>_xlfn.XLOOKUP(CE$2,Table1[DB ID],Table1[Result],"ZZZZZ")</calculatedColumnFormula>
    </tableColumn>
    <tableColumn id="8" xr3:uid="{E7EC5426-E52C-4380-9420-F7BEBD630181}" name="relocation_support">
      <calculatedColumnFormula>_xlfn.XLOOKUP(CF$2,Table1[DB ID],Table1[Result],"ZZZZZ")</calculatedColumnFormula>
    </tableColumn>
    <tableColumn id="9" xr3:uid="{C0A96C90-E571-4537-AE70-85AC9E0C9FF3}" name="lifestyle_benefits">
      <calculatedColumnFormula>_xlfn.XLOOKUP(CG$2,Table1[DB ID],Table1[Result],"ZZZZZ")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B6BE2C-A180-490F-95C8-0B3B29F2380E}" name="Table7" displayName="Table7" ref="CI4:CX5" totalsRowShown="0">
  <autoFilter ref="CI4:CX5" xr:uid="{6CB6BE2C-A180-490F-95C8-0B3B29F2380E}"/>
  <tableColumns count="16">
    <tableColumn id="1" xr3:uid="{F485BD73-9B92-4E9A-86A1-6C4DC08C631E}" name="company_id">
      <calculatedColumnFormula>Table3[[#This Row],[company_id]]</calculatedColumnFormula>
    </tableColumn>
    <tableColumn id="2" xr3:uid="{43ED0A45-0F33-4ABD-BFB0-7A58E8F8A438}" name="hiring_velocity">
      <calculatedColumnFormula>_xlfn.XLOOKUP(CJ$2,Table1[DB ID],Table1[Result],"ZZZZZ")</calculatedColumnFormula>
    </tableColumn>
    <tableColumn id="3" xr3:uid="{66588E79-5AC3-4F71-ADEE-6BA91452F591}" name="employee_turnover">
      <calculatedColumnFormula>_xlfn.XLOOKUP(CK$2,Table1[DB ID],Table1[Result],"ZZZZZ")</calculatedColumnFormula>
    </tableColumn>
    <tableColumn id="4" xr3:uid="{85DB47F9-EF8C-467F-B6F2-DEC43A118A35}" name="avg_retention_tenure">
      <calculatedColumnFormula>_xlfn.XLOOKUP(CL$2,Table1[DB ID],Table1[Result],"ZZZZZ")</calculatedColumnFormula>
    </tableColumn>
    <tableColumn id="5" xr3:uid="{C1BA3B27-6BA4-4232-B394-8C30EBF1ED54}" name="diversity_metrics">
      <calculatedColumnFormula>_xlfn.XLOOKUP(CM$2,Table1[DB ID],Table1[Result],"ZZZZZ")</calculatedColumnFormula>
    </tableColumn>
    <tableColumn id="6" xr3:uid="{C5548221-37A7-4982-8279-165258661A0A}" name="work_culture_summary">
      <calculatedColumnFormula>_xlfn.XLOOKUP(CN$2,Table1[DB ID],Table1[Result],"ZZZZZ")</calculatedColumnFormula>
    </tableColumn>
    <tableColumn id="7" xr3:uid="{3A778F53-17DC-4C90-865E-D7DD335FF056}" name="manager_quality">
      <calculatedColumnFormula>_xlfn.XLOOKUP(CO$2,Table1[DB ID],Table1[Result],"ZZZZZ")</calculatedColumnFormula>
    </tableColumn>
    <tableColumn id="8" xr3:uid="{E6F07B88-9E4B-4124-81CA-EE8E8DEEC08A}" name="psychological_safety">
      <calculatedColumnFormula>_xlfn.XLOOKUP(CP$2,Table1[DB ID],Table1[Result],"ZZZZZ")</calculatedColumnFormula>
    </tableColumn>
    <tableColumn id="9" xr3:uid="{F7AC508B-60A7-45AA-9C99-3BDFA4C463AF}" name="feedback_culture">
      <calculatedColumnFormula>_xlfn.XLOOKUP(CQ$2,Table1[DB ID],Table1[Result],"ZZZZZ")</calculatedColumnFormula>
    </tableColumn>
    <tableColumn id="10" xr3:uid="{094A6FB6-EBD4-4D2F-A739-F7D44F72E7C7}" name="diversity_inclusion_score">
      <calculatedColumnFormula>_xlfn.XLOOKUP(CR$2,Table1[DB ID],Table1[Result],"ZZZZZ")</calculatedColumnFormula>
    </tableColumn>
    <tableColumn id="11" xr3:uid="{82BAE6D4-FE6E-4573-9230-DF4853B15126}" name="ethical_standards">
      <calculatedColumnFormula>_xlfn.XLOOKUP(CS$2,Table1[DB ID],Table1[Result],"ZZZZZ")</calculatedColumnFormula>
    </tableColumn>
    <tableColumn id="12" xr3:uid="{E4EC5FA2-F86E-48B6-BE03-71F01D588458}" name="burnout_risk">
      <calculatedColumnFormula>_xlfn.XLOOKUP(CT$2,Table1[DB ID],Table1[Result],"ZZZZZ")</calculatedColumnFormula>
    </tableColumn>
    <tableColumn id="13" xr3:uid="{25726867-3CA4-4E9E-9432-C57C2DC774F0}" name="layoff_history">
      <calculatedColumnFormula>_xlfn.XLOOKUP(CU$2,Table1[DB ID],Table1[Result],"ZZZZZ")</calculatedColumnFormula>
    </tableColumn>
    <tableColumn id="14" xr3:uid="{7A453C20-4662-487C-9CE8-99FFE79CBC0B}" name="mission_clarity">
      <calculatedColumnFormula>_xlfn.XLOOKUP(CV$2,Table1[DB ID],Table1[Result],"ZZZZZ")</calculatedColumnFormula>
    </tableColumn>
    <tableColumn id="15" xr3:uid="{5AC5F88A-9471-4389-9A8C-01D890041658}" name="sustainability_csr">
      <calculatedColumnFormula>_xlfn.XLOOKUP(CW$2,Table1[DB ID],Table1[Result],"ZZZZZ")</calculatedColumnFormula>
    </tableColumn>
    <tableColumn id="16" xr3:uid="{B1203E6B-FD59-4A1F-958B-546B2874A57A}" name="crisis_behavior">
      <calculatedColumnFormula>_xlfn.XLOOKUP(CX$2,Table1[DB ID],Table1[Result],"ZZZZZ")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3B31FF-122E-419B-9A3D-D472649AFD22}" name="Table8" displayName="Table8" ref="CZ4:DQ5" totalsRowShown="0">
  <autoFilter ref="CZ4:DQ5" xr:uid="{C53B31FF-122E-419B-9A3D-D472649AFD22}"/>
  <tableColumns count="18">
    <tableColumn id="1" xr3:uid="{F859E789-963C-4CA1-8146-EB37822188EA}" name="company_id">
      <calculatedColumnFormula>Table3[[#This Row],[company_id]]</calculatedColumnFormula>
    </tableColumn>
    <tableColumn id="2" xr3:uid="{F984A93B-ACD6-4DE6-86ED-44C8B1827F23}" name="annual_revenue">
      <calculatedColumnFormula>_xlfn.XLOOKUP(DA$2,Table1[DB ID],Table1[Result],"ZZZZZ")</calculatedColumnFormula>
    </tableColumn>
    <tableColumn id="3" xr3:uid="{E8F45694-D039-45A5-BD7F-CD442EE7E1DA}" name="annual_profit">
      <calculatedColumnFormula>_xlfn.XLOOKUP(DB$2,Table1[DB ID],Table1[Result],"ZZZZZ")</calculatedColumnFormula>
    </tableColumn>
    <tableColumn id="4" xr3:uid="{4408CBD8-8A9C-45EE-BCEC-51244140D40F}" name="revenue_mix">
      <calculatedColumnFormula>_xlfn.XLOOKUP(DC$2,Table1[DB ID],Table1[Result],"ZZZZZ")</calculatedColumnFormula>
    </tableColumn>
    <tableColumn id="5" xr3:uid="{AC403155-2A61-449B-B43D-3C2E82A801F7}" name="valuation">
      <calculatedColumnFormula>_xlfn.XLOOKUP(DD$2,Table1[DB ID],Table1[Result],"ZZZZZ")</calculatedColumnFormula>
    </tableColumn>
    <tableColumn id="6" xr3:uid="{20F37BB2-BBDE-4223-BEF2-34FEEF522783}" name="yoy_growth_rate">
      <calculatedColumnFormula>_xlfn.XLOOKUP(DE$2,Table1[DB ID],Table1[Result],"ZZZZZ")</calculatedColumnFormula>
    </tableColumn>
    <tableColumn id="7" xr3:uid="{C4447FC5-8077-4626-98F0-B8ACFB966D2C}" name="profitability_status">
      <calculatedColumnFormula>_xlfn.XLOOKUP(DF$2,Table1[DB ID],Table1[Result],"ZZZZZ")</calculatedColumnFormula>
    </tableColumn>
    <tableColumn id="8" xr3:uid="{236B5803-C78C-4E9A-BF4A-25B4E37D1E8C}" name="key_investors">
      <calculatedColumnFormula>_xlfn.XLOOKUP(DG$2,Table1[DB ID],Table1[Result],"ZZZZZ")</calculatedColumnFormula>
    </tableColumn>
    <tableColumn id="9" xr3:uid="{40BCB671-E483-42CA-BFDA-DA61E3A0206F}" name="recent_funding_rounds">
      <calculatedColumnFormula>_xlfn.XLOOKUP(DH$2,Table1[DB ID],Table1[Result],"ZZZZZ")</calculatedColumnFormula>
    </tableColumn>
    <tableColumn id="10" xr3:uid="{A75B3402-38D0-4EC7-823E-D7F731CD7A52}" name="total_capital_raised">
      <calculatedColumnFormula>_xlfn.XLOOKUP(DI$2,Table1[DB ID],Table1[Result],"ZZZZZ")</calculatedColumnFormula>
    </tableColumn>
    <tableColumn id="11" xr3:uid="{1EFCFE4E-325B-43E9-AC61-BFD64A7E0A50}" name="customer_acquisition_cost">
      <calculatedColumnFormula>_xlfn.XLOOKUP(DJ$2,Table1[DB ID],Table1[Result],"ZZZZZ")</calculatedColumnFormula>
    </tableColumn>
    <tableColumn id="12" xr3:uid="{7E12AF0D-47E7-40C9-B4CA-3222219D3D13}" name="customer_lifetime_value">
      <calculatedColumnFormula>_xlfn.XLOOKUP(DK$2,Table1[DB ID],Table1[Result],"ZZZZZ")</calculatedColumnFormula>
    </tableColumn>
    <tableColumn id="13" xr3:uid="{C93A0EA1-898F-4B35-BAB1-822CD6AB753D}" name="cac_ltv_ratio">
      <calculatedColumnFormula>_xlfn.XLOOKUP(DL$2,Table1[DB ID],Table1[Result],"ZZZZZ")</calculatedColumnFormula>
    </tableColumn>
    <tableColumn id="14" xr3:uid="{0F5C81BA-2F56-430D-8D0A-2A0E85B28FDC}" name="churn_rate">
      <calculatedColumnFormula>_xlfn.XLOOKUP(DM$2,Table1[DB ID],Table1[Result],"ZZZZZ")</calculatedColumnFormula>
    </tableColumn>
    <tableColumn id="15" xr3:uid="{91F154E0-E695-4131-9C5D-2CB6B3361ABD}" name="net_promoter_score">
      <calculatedColumnFormula>_xlfn.XLOOKUP(DN$2,Table1[DB ID],Table1[Result],"ZZZZZ")</calculatedColumnFormula>
    </tableColumn>
    <tableColumn id="16" xr3:uid="{CDCD8C94-A903-4260-9E3D-2F8DBF38D146}" name="burn_rate">
      <calculatedColumnFormula>_xlfn.XLOOKUP(DO$2,Table1[DB ID],Table1[Result],"ZZZZZ")</calculatedColumnFormula>
    </tableColumn>
    <tableColumn id="17" xr3:uid="{A2000410-AAD3-4C5F-8B17-B9CC45F1720D}" name="runway_months">
      <calculatedColumnFormula>_xlfn.XLOOKUP(DP$2,Table1[DB ID],Table1[Result],"ZZZZZ")</calculatedColumnFormula>
    </tableColumn>
    <tableColumn id="18" xr3:uid="{5A500EA1-F096-42FA-8B13-F251800F58D7}" name="burn_multiplier">
      <calculatedColumnFormula>_xlfn.XLOOKUP(DQ$2,Table1[DB ID],Table1[Result],"ZZZZZ")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24BAB5-F837-486F-86A8-8C66029E87CB}" name="Table9" displayName="Table9" ref="DS4:EG5" totalsRowShown="0">
  <autoFilter ref="DS4:EG5" xr:uid="{7924BAB5-F837-486F-86A8-8C66029E87CB}"/>
  <tableColumns count="15">
    <tableColumn id="1" xr3:uid="{8A753E8D-992B-4391-8C69-A0E738339E44}" name="company_id">
      <calculatedColumnFormula>Table3[[#This Row],[company_id]]</calculatedColumnFormula>
    </tableColumn>
    <tableColumn id="2" xr3:uid="{A22D9816-5BD5-45F0-8BBF-392074C288DB}" name="remote_policy_details">
      <calculatedColumnFormula>_xlfn.XLOOKUP(DT$2,Table1[DB ID],Table1[Result],"ZZZZZ")</calculatedColumnFormula>
    </tableColumn>
    <tableColumn id="3" xr3:uid="{1069F6E1-84DE-43F0-9049-4D923B277144}" name="typical_hours">
      <calculatedColumnFormula>_xlfn.XLOOKUP(DU$2,Table1[DB ID],Table1[Result],"ZZZZZ")</calculatedColumnFormula>
    </tableColumn>
    <tableColumn id="4" xr3:uid="{C3816B06-5CB6-4B86-B80F-50FFFFDC3847}" name="overtime_expectations">
      <calculatedColumnFormula>_xlfn.XLOOKUP(DV$2,Table1[DB ID],Table1[Result],"ZZZZZ")</calculatedColumnFormula>
    </tableColumn>
    <tableColumn id="5" xr3:uid="{6FFD5A53-EEDD-4133-8893-02682084F817}" name="weekend_work">
      <calculatedColumnFormula>_xlfn.XLOOKUP(DW$2,Table1[DB ID],Table1[Result],"ZZZZZ")</calculatedColumnFormula>
    </tableColumn>
    <tableColumn id="6" xr3:uid="{FF97BBB6-625D-40AB-BC39-243EFC52978C}" name="flexibility_level">
      <calculatedColumnFormula>_xlfn.XLOOKUP(DX$2,Table1[DB ID],Table1[Result],"ZZZZZ")</calculatedColumnFormula>
    </tableColumn>
    <tableColumn id="7" xr3:uid="{C9DBA810-62E2-45FA-8F47-2091490EB0D2}" name="location_centrality">
      <calculatedColumnFormula>_xlfn.XLOOKUP(DY$2,Table1[DB ID],Table1[Result],"ZZZZZ")</calculatedColumnFormula>
    </tableColumn>
    <tableColumn id="8" xr3:uid="{7B594A92-A7BE-467B-9C92-FF9D710FBE0F}" name="public_transport_access">
      <calculatedColumnFormula>_xlfn.XLOOKUP(DZ$2,Table1[DB ID],Table1[Result],"ZZZZZ")</calculatedColumnFormula>
    </tableColumn>
    <tableColumn id="9" xr3:uid="{99741270-C8DD-483B-A220-860FD1629A75}" name="cab_policy">
      <calculatedColumnFormula>_xlfn.XLOOKUP(EA$2,Table1[DB ID],Table1[Result],"ZZZZZ")</calculatedColumnFormula>
    </tableColumn>
    <tableColumn id="10" xr3:uid="{D04ADF00-0509-487C-A30C-411DC2E28089}" name="airport_commute_time">
      <calculatedColumnFormula>_xlfn.XLOOKUP(EB$2,Table1[DB ID],Table1[Result],"ZZZZZ")</calculatedColumnFormula>
    </tableColumn>
    <tableColumn id="11" xr3:uid="{A587E99C-6530-4CB8-964C-522332E1AE96}" name="office_zone_type">
      <calculatedColumnFormula>_xlfn.XLOOKUP(EC$2,Table1[DB ID],Table1[Result],"ZZZZZ")</calculatedColumnFormula>
    </tableColumn>
    <tableColumn id="12" xr3:uid="{CDF02AFE-04BA-4439-A067-71944161EDCC}" name="area_safety">
      <calculatedColumnFormula>_xlfn.XLOOKUP(ED$2,Table1[DB ID],Table1[Result],"ZZZZZ")</calculatedColumnFormula>
    </tableColumn>
    <tableColumn id="13" xr3:uid="{BEA3F3CE-739F-4271-A55F-D22B9F66A895}" name="safety_policies">
      <calculatedColumnFormula>_xlfn.XLOOKUP(EE$2,Table1[DB ID],Table1[Result],"ZZZZZ")</calculatedColumnFormula>
    </tableColumn>
    <tableColumn id="14" xr3:uid="{10AED9F8-DB4B-4649-8DD0-DA2D38C931D0}" name="infrastructure_safety">
      <calculatedColumnFormula>_xlfn.XLOOKUP(EF$2,Table1[DB ID],Table1[Result],"ZZZZZ")</calculatedColumnFormula>
    </tableColumn>
    <tableColumn id="15" xr3:uid="{2087C9A6-55FB-44D2-8345-E14A095E085D}" name="emergency_preparedness">
      <calculatedColumnFormula>_xlfn.XLOOKUP(EG$2,Table1[DB ID],Table1[Result],"ZZZZZ")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E9AB5A-4245-4678-8889-76149ACAA6AE}" name="Table10" displayName="Table10" ref="EI4:ES5" totalsRowShown="0">
  <autoFilter ref="EI4:ES5" xr:uid="{77E9AB5A-4245-4678-8889-76149ACAA6AE}"/>
  <tableColumns count="11">
    <tableColumn id="1" xr3:uid="{FACD5559-9168-416B-AA6D-6D93C5FACE26}" name="company_id">
      <calculatedColumnFormula>Table3[[#This Row],[company_id]]</calculatedColumnFormula>
    </tableColumn>
    <tableColumn id="2" xr3:uid="{BCB4DE49-7869-418A-B5C4-BE70845D724E}" name="ceo_name">
      <calculatedColumnFormula>_xlfn.XLOOKUP(EJ$2,Table1[DB ID],Table1[Result],"ZZZZZ")</calculatedColumnFormula>
    </tableColumn>
    <tableColumn id="3" xr3:uid="{B7CDD42A-459D-4102-8F11-9BEAAADD1C10}" name="ceo_linkedin_url">
      <calculatedColumnFormula>_xlfn.XLOOKUP(EK$2,Table1[DB ID],Table1[Result],"ZZZZZ")</calculatedColumnFormula>
    </tableColumn>
    <tableColumn id="4" xr3:uid="{674E04D4-ADD6-48C4-B73F-55278837782B}" name="key_leaders">
      <calculatedColumnFormula>_xlfn.XLOOKUP(EL$2,Table1[DB ID],Table1[Result],"ZZZZZ")</calculatedColumnFormula>
    </tableColumn>
    <tableColumn id="5" xr3:uid="{156006E7-21AC-4167-A977-B29D9360F7E3}" name="warm_intro_pathways">
      <calculatedColumnFormula>_xlfn.XLOOKUP(EM$2,Table1[DB ID],Table1[Result],"ZZZZZ")</calculatedColumnFormula>
    </tableColumn>
    <tableColumn id="6" xr3:uid="{BB3F57B7-8AE8-4F37-87DA-C4B5063FC50F}" name="decision_maker_access">
      <calculatedColumnFormula>_xlfn.XLOOKUP(EN$2,Table1[DB ID],Table1[Result],"ZZZZZ")</calculatedColumnFormula>
    </tableColumn>
    <tableColumn id="7" xr3:uid="{100141F7-A13A-4CE4-8B5D-7766F91FD48A}" name="contact_person_name">
      <calculatedColumnFormula>_xlfn.XLOOKUP(EO$2,Table1[DB ID],Table1[Result],"ZZZZZ")</calculatedColumnFormula>
    </tableColumn>
    <tableColumn id="8" xr3:uid="{F64D7615-14CF-4620-9057-29B2FE55EDBC}" name="contact_person_title">
      <calculatedColumnFormula>_xlfn.XLOOKUP(EP$2,Table1[DB ID],Table1[Result],"ZZZZZ")</calculatedColumnFormula>
    </tableColumn>
    <tableColumn id="9" xr3:uid="{CC351955-3B92-4E93-9686-6585368388A7}" name="contact_person_email">
      <calculatedColumnFormula>_xlfn.XLOOKUP(EQ$2,Table1[DB ID],Table1[Result],"ZZZZZ")</calculatedColumnFormula>
    </tableColumn>
    <tableColumn id="10" xr3:uid="{E95BF300-3C3E-4D06-AE9C-45A0E3A35ADA}" name="contact_person_phone">
      <calculatedColumnFormula>_xlfn.XLOOKUP(ER$2,Table1[DB ID],Table1[Result],"ZZZZZ")</calculatedColumnFormula>
    </tableColumn>
    <tableColumn id="11" xr3:uid="{FEA841FD-4A98-46BF-B6CB-19DCFE61FD3B}" name="board_members">
      <calculatedColumnFormula>_xlfn.XLOOKUP(ES$2,Table1[DB ID],Table1[Result],"ZZZZZ")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A97141F-D272-4F1C-9419-B9492ABC8E96}" name="Table11" displayName="Table11" ref="EU4:FQ5" totalsRowShown="0">
  <autoFilter ref="EU4:FQ5" xr:uid="{9A97141F-D272-4F1C-9419-B9492ABC8E96}"/>
  <tableColumns count="23">
    <tableColumn id="1" xr3:uid="{EC897B17-5D2B-4EF8-9905-DF3B36007329}" name="company_id">
      <calculatedColumnFormula>Table3[[#This Row],[company_id]]</calculatedColumnFormula>
    </tableColumn>
    <tableColumn id="2" xr3:uid="{F7CB47BF-739F-4837-96DD-A81496E97964}" name="training_spend">
      <calculatedColumnFormula>_xlfn.XLOOKUP(EV$2,Table1[DB ID],Table1[Result],"ZZZZZ")</calculatedColumnFormula>
    </tableColumn>
    <tableColumn id="3" xr3:uid="{64EBF379-A706-4369-92E7-1A66153A28D3}" name="onboarding_quality">
      <calculatedColumnFormula>_xlfn.XLOOKUP(EW$2,Table1[DB ID],Table1[Result],"ZZZZZ")</calculatedColumnFormula>
    </tableColumn>
    <tableColumn id="4" xr3:uid="{EFB45785-3F1B-4D01-B32B-0F182F05B433}" name="learning_culture">
      <calculatedColumnFormula>_xlfn.XLOOKUP(EX$2,Table1[DB ID],Table1[Result],"ZZZZZ")</calculatedColumnFormula>
    </tableColumn>
    <tableColumn id="5" xr3:uid="{6786F11E-F240-413C-B1D7-BC8F4CCF84C0}" name="exposure_quality">
      <calculatedColumnFormula>_xlfn.XLOOKUP(EY$2,Table1[DB ID],Table1[Result],"ZZZZZ")</calculatedColumnFormula>
    </tableColumn>
    <tableColumn id="6" xr3:uid="{4FC1505C-5DFB-462B-A0AE-C83D26B0519A}" name="mentorship_availability">
      <calculatedColumnFormula>_xlfn.XLOOKUP(EZ$2,Table1[DB ID],Table1[Result],"ZZZZZ")</calculatedColumnFormula>
    </tableColumn>
    <tableColumn id="7" xr3:uid="{C658D249-66F8-4F98-9074-0F66B87E0250}" name="internal_mobility">
      <calculatedColumnFormula>_xlfn.XLOOKUP(FA$2,Table1[DB ID],Table1[Result],"ZZZZZ")</calculatedColumnFormula>
    </tableColumn>
    <tableColumn id="8" xr3:uid="{6BC19EC6-26F5-4A0E-A489-3D67F3793D5C}" name="promotion_clarity">
      <calculatedColumnFormula>_xlfn.XLOOKUP(FB$2,Table1[DB ID],Table1[Result],"ZZZZZ")</calculatedColumnFormula>
    </tableColumn>
    <tableColumn id="9" xr3:uid="{05466A52-5886-4723-A27C-D9E0B57085A8}" name="tools_access">
      <calculatedColumnFormula>_xlfn.XLOOKUP(FC$2,Table1[DB ID],Table1[Result],"ZZZZZ")</calculatedColumnFormula>
    </tableColumn>
    <tableColumn id="10" xr3:uid="{E8DC6667-C169-4333-BD28-1ACDE64E5FD6}" name="role_clarity">
      <calculatedColumnFormula>_xlfn.XLOOKUP(FD$2,Table1[DB ID],Table1[Result],"ZZZZZ")</calculatedColumnFormula>
    </tableColumn>
    <tableColumn id="11" xr3:uid="{CDBE8945-CD76-40F1-9304-C4216BB95F3C}" name="early_ownership">
      <calculatedColumnFormula>_xlfn.XLOOKUP(FE$2,Table1[DB ID],Table1[Result],"ZZZZZ")</calculatedColumnFormula>
    </tableColumn>
    <tableColumn id="12" xr3:uid="{925E4881-939E-490E-9DF0-FDDE6E31A42A}" name="work_impact">
      <calculatedColumnFormula>_xlfn.XLOOKUP(FF$2,Table1[DB ID],Table1[Result],"ZZZZZ")</calculatedColumnFormula>
    </tableColumn>
    <tableColumn id="13" xr3:uid="{1ECEA4CD-19F7-4DF5-81BA-D763879568C7}" name="execution_thinking_balance">
      <calculatedColumnFormula>_xlfn.XLOOKUP(FG$2,Table1[DB ID],Table1[Result],"ZZZZZ")</calculatedColumnFormula>
    </tableColumn>
    <tableColumn id="14" xr3:uid="{D2667523-2199-41F8-A37A-D3300D4DE02F}" name="automation_level">
      <calculatedColumnFormula>_xlfn.XLOOKUP(FH$2,Table1[DB ID],Table1[Result],"ZZZZZ")</calculatedColumnFormula>
    </tableColumn>
    <tableColumn id="15" xr3:uid="{D946DFF4-949D-4C63-AABD-AA53CB421E24}" name="cross_functional_exposure">
      <calculatedColumnFormula>_xlfn.XLOOKUP(FI$2,Table1[DB ID],Table1[Result],"ZZZZZ")</calculatedColumnFormula>
    </tableColumn>
    <tableColumn id="16" xr3:uid="{50127E75-1F01-4895-9FD6-5F3A7FDF0B64}" name="company_maturity">
      <calculatedColumnFormula>_xlfn.XLOOKUP(FJ$2,Table1[DB ID],Table1[Result],"ZZZZZ")</calculatedColumnFormula>
    </tableColumn>
    <tableColumn id="17" xr3:uid="{89913137-C599-480C-8B3D-EE43A30BFE7C}" name="brand_value">
      <calculatedColumnFormula>_xlfn.XLOOKUP(FK$2,Table1[DB ID],Table1[Result],"ZZZZZ")</calculatedColumnFormula>
    </tableColumn>
    <tableColumn id="18" xr3:uid="{E80D8185-272F-4630-8F18-4BC19CF842A7}" name="client_quality">
      <calculatedColumnFormula>_xlfn.XLOOKUP(FL$2,Table1[DB ID],Table1[Result],"ZZZZZ")</calculatedColumnFormula>
    </tableColumn>
    <tableColumn id="19" xr3:uid="{7F34F2F4-6FA2-4DD3-BED7-D124501BDA15}" name="exit_opportunities">
      <calculatedColumnFormula>_xlfn.XLOOKUP(FM$2,Table1[DB ID],Table1[Result],"ZZZZZ")</calculatedColumnFormula>
    </tableColumn>
    <tableColumn id="20" xr3:uid="{A1CC63EB-DC7A-4FCB-912C-1B96D7898926}" name="skill_relevance">
      <calculatedColumnFormula>_xlfn.XLOOKUP(FN$2,Table1[DB ID],Table1[Result],"ZZZZZ")</calculatedColumnFormula>
    </tableColumn>
    <tableColumn id="21" xr3:uid="{60828495-64AF-45C5-B177-086BE6EF7F38}" name="external_recognition">
      <calculatedColumnFormula>_xlfn.XLOOKUP(FO$2,Table1[DB ID],Table1[Result],"ZZZZZ")</calculatedColumnFormula>
    </tableColumn>
    <tableColumn id="22" xr3:uid="{6998F45B-58A6-4896-93EA-2560C12B01CC}" name="network_strength">
      <calculatedColumnFormula>_xlfn.XLOOKUP(FP$2,Table1[DB ID],Table1[Result],"ZZZZZ")</calculatedColumnFormula>
    </tableColumn>
    <tableColumn id="23" xr3:uid="{1568FB00-0D28-4BC0-A33F-1C46C13E4AB8}" name="global_exposure">
      <calculatedColumnFormula>_xlfn.XLOOKUP(FQ$2,Table1[DB ID],Table1[Result],"ZZZZZ")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CA507DC-4383-4D6C-81D9-F5C100E4B0C2}" name="Table12" displayName="Table12" ref="FS4:GA5" totalsRowShown="0">
  <autoFilter ref="FS4:GA5" xr:uid="{6CA507DC-4383-4D6C-81D9-F5C100E4B0C2}"/>
  <tableColumns count="9">
    <tableColumn id="1" xr3:uid="{92F8F721-1E67-42BD-B959-2322D3EEEC67}" name="company_id">
      <calculatedColumnFormula>Table3[[#This Row],[company_id]]</calculatedColumnFormula>
    </tableColumn>
    <tableColumn id="2" xr3:uid="{B269D1C6-296A-4810-91B5-512D28C41417}" name="technology_partners">
      <calculatedColumnFormula>_xlfn.XLOOKUP(FT$2,Table1[DB ID],Table1[Result],"ZZZZZ")</calculatedColumnFormula>
    </tableColumn>
    <tableColumn id="3" xr3:uid="{55787C07-83F4-4B7F-AAF4-E3A35D857CEC}" name="intellectual_property">
      <calculatedColumnFormula>_xlfn.XLOOKUP(FU$2,Table1[DB ID],Table1[Result],"ZZZZZ")</calculatedColumnFormula>
    </tableColumn>
    <tableColumn id="4" xr3:uid="{656A3F0A-D154-451F-B84A-BEE0247AFA32}" name="r_and_d_investment">
      <calculatedColumnFormula>_xlfn.XLOOKUP(FV$2,Table1[DB ID],Table1[Result],"ZZZZZ")</calculatedColumnFormula>
    </tableColumn>
    <tableColumn id="5" xr3:uid="{4E8F5B7B-5562-4F29-8A27-F35058C2FF8F}" name="ai_ml_adoption_level">
      <calculatedColumnFormula>_xlfn.XLOOKUP(FW$2,Table1[DB ID],Table1[Result],"ZZZZZ")</calculatedColumnFormula>
    </tableColumn>
    <tableColumn id="6" xr3:uid="{AB295E7F-C650-448A-A046-8D68BA4660E8}" name="tech_stack">
      <calculatedColumnFormula>_xlfn.XLOOKUP(FX$2,Table1[DB ID],Table1[Result],"ZZZZZ")</calculatedColumnFormula>
    </tableColumn>
    <tableColumn id="7" xr3:uid="{FB9DFC2E-B8FD-4DFD-935B-EC3D3D868E28}" name="cybersecurity_posture">
      <calculatedColumnFormula>_xlfn.XLOOKUP(FY$2,Table1[DB ID],Table1[Result],"ZZZZZ")</calculatedColumnFormula>
    </tableColumn>
    <tableColumn id="8" xr3:uid="{3466DB3A-2C23-44B6-9FA9-7ADD0AEF9839}" name="partnership_ecosystem">
      <calculatedColumnFormula>_xlfn.XLOOKUP(FZ$2,Table1[DB ID],Table1[Result],"ZZZZZ")</calculatedColumnFormula>
    </tableColumn>
    <tableColumn id="9" xr3:uid="{83D051F9-07DF-4589-AED3-7880A71FBB7B}" name="tech_adoption_rating">
      <calculatedColumnFormula>_xlfn.XLOOKUP(GA$2,Table1[DB ID],Table1[Result],"ZZZZZ")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10" Type="http://schemas.openxmlformats.org/officeDocument/2006/relationships/table" Target="../tables/table12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AB05-30DC-4D24-BC87-B223436FA318}">
  <dimension ref="A1:K165"/>
  <sheetViews>
    <sheetView tabSelected="1" topLeftCell="B1" workbookViewId="0">
      <selection activeCell="M89" sqref="M89"/>
    </sheetView>
  </sheetViews>
  <sheetFormatPr defaultRowHeight="15"/>
  <cols>
    <col min="1" max="1" width="0" hidden="1" customWidth="1"/>
    <col min="3" max="3" width="30.7109375" bestFit="1" customWidth="1"/>
    <col min="4" max="4" width="12.7109375" bestFit="1" customWidth="1"/>
  </cols>
  <sheetData>
    <row r="1" spans="1:11" ht="24">
      <c r="D1" s="1" t="s">
        <v>0</v>
      </c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</v>
      </c>
      <c r="C2" t="s">
        <v>3</v>
      </c>
      <c r="D2" t="s">
        <v>4</v>
      </c>
    </row>
    <row r="3" spans="1:11">
      <c r="A3">
        <v>1</v>
      </c>
      <c r="B3">
        <v>1</v>
      </c>
      <c r="C3" t="s">
        <v>5</v>
      </c>
    </row>
    <row r="4" spans="1:11">
      <c r="A4">
        <v>2</v>
      </c>
      <c r="B4">
        <v>2</v>
      </c>
      <c r="C4" t="s">
        <v>6</v>
      </c>
    </row>
    <row r="5" spans="1:11">
      <c r="A5">
        <v>3</v>
      </c>
      <c r="B5">
        <v>3</v>
      </c>
      <c r="C5" t="s">
        <v>7</v>
      </c>
    </row>
    <row r="6" spans="1:11">
      <c r="A6">
        <v>4</v>
      </c>
      <c r="B6">
        <v>4</v>
      </c>
      <c r="C6" t="s">
        <v>8</v>
      </c>
    </row>
    <row r="7" spans="1:11">
      <c r="A7">
        <v>5</v>
      </c>
      <c r="B7">
        <v>5</v>
      </c>
      <c r="C7" t="s">
        <v>9</v>
      </c>
    </row>
    <row r="8" spans="1:11">
      <c r="A8">
        <v>6</v>
      </c>
      <c r="B8">
        <v>6</v>
      </c>
      <c r="C8" t="s">
        <v>10</v>
      </c>
    </row>
    <row r="9" spans="1:11">
      <c r="A9">
        <v>7</v>
      </c>
      <c r="B9">
        <v>7</v>
      </c>
      <c r="C9" t="s">
        <v>11</v>
      </c>
    </row>
    <row r="10" spans="1:11">
      <c r="A10">
        <v>8</v>
      </c>
      <c r="B10">
        <v>8</v>
      </c>
      <c r="C10" t="s">
        <v>12</v>
      </c>
    </row>
    <row r="11" spans="1:11">
      <c r="A11">
        <v>9</v>
      </c>
      <c r="B11">
        <v>9</v>
      </c>
      <c r="C11" t="s">
        <v>13</v>
      </c>
    </row>
    <row r="12" spans="1:11">
      <c r="A12">
        <v>10</v>
      </c>
      <c r="B12">
        <v>10</v>
      </c>
      <c r="C12" t="s">
        <v>14</v>
      </c>
    </row>
    <row r="13" spans="1:11">
      <c r="A13">
        <v>11</v>
      </c>
      <c r="B13">
        <v>11</v>
      </c>
      <c r="C13" t="s">
        <v>15</v>
      </c>
    </row>
    <row r="14" spans="1:11">
      <c r="A14">
        <v>12</v>
      </c>
      <c r="B14">
        <v>12</v>
      </c>
      <c r="C14" t="s">
        <v>16</v>
      </c>
    </row>
    <row r="15" spans="1:11">
      <c r="A15">
        <v>13</v>
      </c>
      <c r="B15">
        <v>78</v>
      </c>
      <c r="C15" t="s">
        <v>17</v>
      </c>
    </row>
    <row r="16" spans="1:11">
      <c r="A16">
        <v>14</v>
      </c>
      <c r="B16">
        <v>79</v>
      </c>
      <c r="C16" t="s">
        <v>18</v>
      </c>
    </row>
    <row r="17" spans="1:3">
      <c r="A17">
        <v>15</v>
      </c>
      <c r="B17">
        <v>80</v>
      </c>
      <c r="C17" t="s">
        <v>19</v>
      </c>
    </row>
    <row r="18" spans="1:3">
      <c r="A18">
        <v>16</v>
      </c>
      <c r="B18">
        <v>45</v>
      </c>
      <c r="C18" t="s">
        <v>20</v>
      </c>
    </row>
    <row r="19" spans="1:3">
      <c r="A19">
        <v>17</v>
      </c>
      <c r="B19">
        <v>46</v>
      </c>
      <c r="C19" t="s">
        <v>21</v>
      </c>
    </row>
    <row r="20" spans="1:3">
      <c r="A20">
        <v>18</v>
      </c>
      <c r="B20">
        <v>47</v>
      </c>
      <c r="C20" t="s">
        <v>22</v>
      </c>
    </row>
    <row r="21" spans="1:3">
      <c r="A21">
        <v>19</v>
      </c>
      <c r="B21">
        <v>48</v>
      </c>
      <c r="C21" t="s">
        <v>23</v>
      </c>
    </row>
    <row r="22" spans="1:3">
      <c r="A22">
        <v>20</v>
      </c>
      <c r="B22">
        <v>49</v>
      </c>
      <c r="C22" t="s">
        <v>24</v>
      </c>
    </row>
    <row r="23" spans="1:3">
      <c r="A23">
        <v>21</v>
      </c>
      <c r="B23">
        <v>13</v>
      </c>
      <c r="C23" t="s">
        <v>25</v>
      </c>
    </row>
    <row r="24" spans="1:3">
      <c r="A24">
        <v>22</v>
      </c>
      <c r="B24">
        <v>14</v>
      </c>
      <c r="C24" t="s">
        <v>26</v>
      </c>
    </row>
    <row r="25" spans="1:3">
      <c r="A25">
        <v>23</v>
      </c>
      <c r="B25">
        <v>15</v>
      </c>
      <c r="C25" t="s">
        <v>27</v>
      </c>
    </row>
    <row r="26" spans="1:3">
      <c r="A26">
        <v>24</v>
      </c>
      <c r="B26">
        <v>50</v>
      </c>
      <c r="C26" t="s">
        <v>28</v>
      </c>
    </row>
    <row r="27" spans="1:3">
      <c r="A27">
        <v>25</v>
      </c>
      <c r="B27">
        <v>51</v>
      </c>
      <c r="C27" t="s">
        <v>29</v>
      </c>
    </row>
    <row r="28" spans="1:3">
      <c r="A28">
        <v>26</v>
      </c>
      <c r="B28">
        <v>52</v>
      </c>
      <c r="C28" t="s">
        <v>30</v>
      </c>
    </row>
    <row r="29" spans="1:3">
      <c r="A29">
        <v>27</v>
      </c>
      <c r="B29">
        <v>53</v>
      </c>
      <c r="C29" t="s">
        <v>31</v>
      </c>
    </row>
    <row r="30" spans="1:3">
      <c r="A30">
        <v>28</v>
      </c>
      <c r="B30">
        <v>54</v>
      </c>
      <c r="C30" t="s">
        <v>32</v>
      </c>
    </row>
    <row r="31" spans="1:3">
      <c r="A31">
        <v>29</v>
      </c>
      <c r="B31">
        <v>156</v>
      </c>
      <c r="C31" t="s">
        <v>33</v>
      </c>
    </row>
    <row r="32" spans="1:3">
      <c r="A32">
        <v>30</v>
      </c>
      <c r="B32">
        <v>16</v>
      </c>
      <c r="C32" t="s">
        <v>34</v>
      </c>
    </row>
    <row r="33" spans="1:3">
      <c r="A33">
        <v>31</v>
      </c>
      <c r="B33">
        <v>17</v>
      </c>
      <c r="C33" t="s">
        <v>35</v>
      </c>
    </row>
    <row r="34" spans="1:3">
      <c r="A34">
        <v>32</v>
      </c>
      <c r="B34">
        <v>18</v>
      </c>
      <c r="C34" t="s">
        <v>36</v>
      </c>
    </row>
    <row r="35" spans="1:3">
      <c r="A35">
        <v>33</v>
      </c>
      <c r="B35">
        <v>35</v>
      </c>
      <c r="C35" t="s">
        <v>37</v>
      </c>
    </row>
    <row r="36" spans="1:3">
      <c r="A36">
        <v>34</v>
      </c>
      <c r="B36">
        <v>36</v>
      </c>
      <c r="C36" t="s">
        <v>38</v>
      </c>
    </row>
    <row r="37" spans="1:3">
      <c r="A37">
        <v>35</v>
      </c>
      <c r="B37">
        <v>37</v>
      </c>
      <c r="C37" t="s">
        <v>39</v>
      </c>
    </row>
    <row r="38" spans="1:3">
      <c r="A38">
        <v>36</v>
      </c>
      <c r="B38">
        <v>38</v>
      </c>
      <c r="C38" t="s">
        <v>40</v>
      </c>
    </row>
    <row r="39" spans="1:3">
      <c r="A39">
        <v>37</v>
      </c>
      <c r="B39">
        <v>39</v>
      </c>
      <c r="C39" t="s">
        <v>41</v>
      </c>
    </row>
    <row r="40" spans="1:3">
      <c r="A40">
        <v>38</v>
      </c>
      <c r="B40">
        <v>40</v>
      </c>
      <c r="C40" t="s">
        <v>42</v>
      </c>
    </row>
    <row r="41" spans="1:3">
      <c r="A41">
        <v>39</v>
      </c>
      <c r="B41">
        <v>41</v>
      </c>
      <c r="C41" t="s">
        <v>43</v>
      </c>
    </row>
    <row r="42" spans="1:3">
      <c r="A42">
        <v>40</v>
      </c>
      <c r="B42">
        <v>19</v>
      </c>
      <c r="C42" t="s">
        <v>44</v>
      </c>
    </row>
    <row r="43" spans="1:3">
      <c r="A43">
        <v>41</v>
      </c>
      <c r="B43">
        <v>20</v>
      </c>
      <c r="C43" t="s">
        <v>45</v>
      </c>
    </row>
    <row r="44" spans="1:3">
      <c r="A44">
        <v>42</v>
      </c>
      <c r="B44">
        <v>21</v>
      </c>
      <c r="C44" t="s">
        <v>46</v>
      </c>
    </row>
    <row r="45" spans="1:3">
      <c r="A45">
        <v>43</v>
      </c>
      <c r="B45">
        <v>22</v>
      </c>
      <c r="C45" t="s">
        <v>47</v>
      </c>
    </row>
    <row r="46" spans="1:3">
      <c r="A46">
        <v>44</v>
      </c>
      <c r="B46">
        <v>124</v>
      </c>
      <c r="C46" t="s">
        <v>48</v>
      </c>
    </row>
    <row r="47" spans="1:3">
      <c r="A47">
        <v>45</v>
      </c>
      <c r="B47">
        <v>125</v>
      </c>
      <c r="C47" t="s">
        <v>49</v>
      </c>
    </row>
    <row r="48" spans="1:3">
      <c r="A48">
        <v>46</v>
      </c>
      <c r="B48">
        <v>126</v>
      </c>
      <c r="C48" t="s">
        <v>50</v>
      </c>
    </row>
    <row r="49" spans="1:3">
      <c r="A49">
        <v>47</v>
      </c>
      <c r="B49">
        <v>127</v>
      </c>
      <c r="C49" t="s">
        <v>51</v>
      </c>
    </row>
    <row r="50" spans="1:3">
      <c r="A50">
        <v>48</v>
      </c>
      <c r="B50">
        <v>128</v>
      </c>
      <c r="C50" t="s">
        <v>52</v>
      </c>
    </row>
    <row r="51" spans="1:3">
      <c r="A51">
        <v>49</v>
      </c>
      <c r="B51">
        <v>23</v>
      </c>
      <c r="C51" t="s">
        <v>53</v>
      </c>
    </row>
    <row r="52" spans="1:3">
      <c r="A52">
        <v>50</v>
      </c>
      <c r="B52">
        <v>24</v>
      </c>
      <c r="C52" t="s">
        <v>54</v>
      </c>
    </row>
    <row r="53" spans="1:3">
      <c r="A53">
        <v>51</v>
      </c>
      <c r="B53">
        <v>129</v>
      </c>
      <c r="C53" t="s">
        <v>55</v>
      </c>
    </row>
    <row r="54" spans="1:3">
      <c r="A54">
        <v>52</v>
      </c>
      <c r="B54">
        <v>130</v>
      </c>
      <c r="C54" t="s">
        <v>56</v>
      </c>
    </row>
    <row r="55" spans="1:3">
      <c r="A55">
        <v>53</v>
      </c>
      <c r="B55">
        <v>131</v>
      </c>
      <c r="C55" t="s">
        <v>57</v>
      </c>
    </row>
    <row r="56" spans="1:3">
      <c r="A56">
        <v>54</v>
      </c>
      <c r="B56">
        <v>132</v>
      </c>
      <c r="C56" t="s">
        <v>58</v>
      </c>
    </row>
    <row r="57" spans="1:3">
      <c r="A57">
        <v>55</v>
      </c>
      <c r="B57">
        <v>42</v>
      </c>
      <c r="C57" t="s">
        <v>59</v>
      </c>
    </row>
    <row r="58" spans="1:3">
      <c r="A58">
        <v>56</v>
      </c>
      <c r="B58">
        <v>43</v>
      </c>
      <c r="C58" t="s">
        <v>60</v>
      </c>
    </row>
    <row r="59" spans="1:3">
      <c r="A59">
        <v>57</v>
      </c>
      <c r="B59">
        <v>44</v>
      </c>
      <c r="C59" t="s">
        <v>61</v>
      </c>
    </row>
    <row r="60" spans="1:3">
      <c r="A60">
        <v>58</v>
      </c>
      <c r="B60">
        <v>25</v>
      </c>
      <c r="C60" t="s">
        <v>62</v>
      </c>
    </row>
    <row r="61" spans="1:3">
      <c r="A61">
        <v>59</v>
      </c>
      <c r="B61">
        <v>26</v>
      </c>
      <c r="C61" t="s">
        <v>63</v>
      </c>
    </row>
    <row r="62" spans="1:3">
      <c r="A62">
        <v>60</v>
      </c>
      <c r="B62">
        <v>93</v>
      </c>
      <c r="C62" t="s">
        <v>64</v>
      </c>
    </row>
    <row r="63" spans="1:3">
      <c r="A63">
        <v>61</v>
      </c>
      <c r="B63">
        <v>94</v>
      </c>
      <c r="C63" t="s">
        <v>65</v>
      </c>
    </row>
    <row r="64" spans="1:3">
      <c r="A64">
        <v>62</v>
      </c>
      <c r="B64">
        <v>95</v>
      </c>
      <c r="C64" t="s">
        <v>66</v>
      </c>
    </row>
    <row r="65" spans="1:3">
      <c r="A65">
        <v>63</v>
      </c>
      <c r="B65">
        <v>96</v>
      </c>
      <c r="C65" t="s">
        <v>67</v>
      </c>
    </row>
    <row r="66" spans="1:3">
      <c r="A66">
        <v>64</v>
      </c>
      <c r="B66">
        <v>97</v>
      </c>
      <c r="C66" t="s">
        <v>68</v>
      </c>
    </row>
    <row r="67" spans="1:3">
      <c r="A67">
        <v>65</v>
      </c>
      <c r="B67">
        <v>98</v>
      </c>
      <c r="C67" t="s">
        <v>69</v>
      </c>
    </row>
    <row r="68" spans="1:3">
      <c r="A68">
        <v>66</v>
      </c>
      <c r="B68">
        <v>55</v>
      </c>
      <c r="C68" t="s">
        <v>70</v>
      </c>
    </row>
    <row r="69" spans="1:3">
      <c r="A69">
        <v>67</v>
      </c>
      <c r="B69">
        <v>99</v>
      </c>
      <c r="C69" t="s">
        <v>71</v>
      </c>
    </row>
    <row r="70" spans="1:3">
      <c r="A70">
        <v>68</v>
      </c>
      <c r="B70">
        <v>100</v>
      </c>
      <c r="C70" t="s">
        <v>72</v>
      </c>
    </row>
    <row r="71" spans="1:3">
      <c r="A71">
        <v>69</v>
      </c>
      <c r="B71">
        <v>101</v>
      </c>
      <c r="C71" t="s">
        <v>73</v>
      </c>
    </row>
    <row r="72" spans="1:3">
      <c r="A72">
        <v>70</v>
      </c>
      <c r="B72">
        <v>27</v>
      </c>
      <c r="C72" t="s">
        <v>74</v>
      </c>
    </row>
    <row r="73" spans="1:3">
      <c r="A73">
        <v>71</v>
      </c>
      <c r="B73">
        <v>56</v>
      </c>
      <c r="C73" t="s">
        <v>75</v>
      </c>
    </row>
    <row r="74" spans="1:3">
      <c r="A74">
        <v>72</v>
      </c>
      <c r="B74">
        <v>102</v>
      </c>
      <c r="C74" t="s">
        <v>76</v>
      </c>
    </row>
    <row r="75" spans="1:3">
      <c r="A75">
        <v>73</v>
      </c>
      <c r="B75">
        <v>103</v>
      </c>
      <c r="C75" t="s">
        <v>77</v>
      </c>
    </row>
    <row r="76" spans="1:3">
      <c r="A76">
        <v>74</v>
      </c>
      <c r="B76">
        <v>104</v>
      </c>
      <c r="C76" t="s">
        <v>78</v>
      </c>
    </row>
    <row r="77" spans="1:3">
      <c r="A77">
        <v>75</v>
      </c>
      <c r="B77">
        <v>105</v>
      </c>
      <c r="C77" t="s">
        <v>79</v>
      </c>
    </row>
    <row r="78" spans="1:3">
      <c r="A78">
        <v>76</v>
      </c>
      <c r="B78">
        <v>106</v>
      </c>
      <c r="C78" t="s">
        <v>80</v>
      </c>
    </row>
    <row r="79" spans="1:3">
      <c r="A79">
        <v>77</v>
      </c>
      <c r="B79">
        <v>57</v>
      </c>
      <c r="C79" t="s">
        <v>81</v>
      </c>
    </row>
    <row r="80" spans="1:3">
      <c r="A80">
        <v>78</v>
      </c>
      <c r="B80">
        <v>107</v>
      </c>
      <c r="C80" t="s">
        <v>82</v>
      </c>
    </row>
    <row r="81" spans="1:3">
      <c r="A81">
        <v>79</v>
      </c>
      <c r="B81">
        <v>108</v>
      </c>
      <c r="C81" t="s">
        <v>83</v>
      </c>
    </row>
    <row r="82" spans="1:3">
      <c r="A82">
        <v>80</v>
      </c>
      <c r="B82">
        <v>109</v>
      </c>
      <c r="C82" t="s">
        <v>84</v>
      </c>
    </row>
    <row r="83" spans="1:3">
      <c r="A83">
        <v>81</v>
      </c>
      <c r="B83">
        <v>157</v>
      </c>
      <c r="C83" t="s">
        <v>85</v>
      </c>
    </row>
    <row r="84" spans="1:3">
      <c r="A84">
        <v>82</v>
      </c>
      <c r="B84">
        <v>158</v>
      </c>
      <c r="C84" t="s">
        <v>86</v>
      </c>
    </row>
    <row r="85" spans="1:3">
      <c r="A85">
        <v>83</v>
      </c>
      <c r="B85">
        <v>159</v>
      </c>
      <c r="C85" t="s">
        <v>87</v>
      </c>
    </row>
    <row r="86" spans="1:3">
      <c r="A86">
        <v>84</v>
      </c>
      <c r="B86">
        <v>160</v>
      </c>
      <c r="C86" t="s">
        <v>88</v>
      </c>
    </row>
    <row r="87" spans="1:3">
      <c r="A87">
        <v>85</v>
      </c>
      <c r="B87">
        <v>161</v>
      </c>
      <c r="C87" t="s">
        <v>89</v>
      </c>
    </row>
    <row r="88" spans="1:3">
      <c r="A88">
        <v>86</v>
      </c>
      <c r="B88">
        <v>28</v>
      </c>
      <c r="C88" t="s">
        <v>90</v>
      </c>
    </row>
    <row r="89" spans="1:3">
      <c r="A89">
        <v>87</v>
      </c>
      <c r="B89">
        <v>29</v>
      </c>
      <c r="C89" t="s">
        <v>91</v>
      </c>
    </row>
    <row r="90" spans="1:3">
      <c r="A90">
        <v>88</v>
      </c>
      <c r="B90">
        <v>30</v>
      </c>
      <c r="C90" t="s">
        <v>92</v>
      </c>
    </row>
    <row r="91" spans="1:3">
      <c r="A91">
        <v>89</v>
      </c>
      <c r="B91">
        <v>81</v>
      </c>
      <c r="C91" t="s">
        <v>93</v>
      </c>
    </row>
    <row r="92" spans="1:3">
      <c r="A92">
        <v>90</v>
      </c>
      <c r="B92">
        <v>110</v>
      </c>
      <c r="C92" t="s">
        <v>94</v>
      </c>
    </row>
    <row r="93" spans="1:3">
      <c r="A93">
        <v>91</v>
      </c>
      <c r="B93">
        <v>134</v>
      </c>
      <c r="C93" t="s">
        <v>95</v>
      </c>
    </row>
    <row r="94" spans="1:3">
      <c r="A94">
        <v>92</v>
      </c>
      <c r="B94">
        <v>162</v>
      </c>
      <c r="C94" t="s">
        <v>96</v>
      </c>
    </row>
    <row r="95" spans="1:3">
      <c r="A95">
        <v>93</v>
      </c>
      <c r="B95">
        <v>58</v>
      </c>
      <c r="C95" t="s">
        <v>97</v>
      </c>
    </row>
    <row r="96" spans="1:3">
      <c r="A96">
        <v>94</v>
      </c>
      <c r="B96">
        <v>31</v>
      </c>
      <c r="C96" t="s">
        <v>98</v>
      </c>
    </row>
    <row r="97" spans="1:3">
      <c r="A97">
        <v>95</v>
      </c>
      <c r="B97">
        <v>32</v>
      </c>
      <c r="C97" t="s">
        <v>99</v>
      </c>
    </row>
    <row r="98" spans="1:3">
      <c r="A98">
        <v>96</v>
      </c>
      <c r="B98">
        <v>59</v>
      </c>
      <c r="C98" t="s">
        <v>100</v>
      </c>
    </row>
    <row r="99" spans="1:3">
      <c r="A99">
        <v>97</v>
      </c>
      <c r="B99">
        <v>60</v>
      </c>
      <c r="C99" t="s">
        <v>101</v>
      </c>
    </row>
    <row r="100" spans="1:3">
      <c r="A100">
        <v>98</v>
      </c>
      <c r="B100">
        <v>61</v>
      </c>
      <c r="C100" t="s">
        <v>102</v>
      </c>
    </row>
    <row r="101" spans="1:3">
      <c r="A101">
        <v>99</v>
      </c>
      <c r="B101">
        <v>62</v>
      </c>
      <c r="C101" t="s">
        <v>103</v>
      </c>
    </row>
    <row r="102" spans="1:3">
      <c r="A102">
        <v>100</v>
      </c>
      <c r="B102">
        <v>63</v>
      </c>
      <c r="C102" t="s">
        <v>104</v>
      </c>
    </row>
    <row r="103" spans="1:3">
      <c r="A103">
        <v>101</v>
      </c>
      <c r="B103">
        <v>64</v>
      </c>
      <c r="C103" t="s">
        <v>105</v>
      </c>
    </row>
    <row r="104" spans="1:3">
      <c r="A104">
        <v>102</v>
      </c>
      <c r="B104">
        <v>65</v>
      </c>
      <c r="C104" t="s">
        <v>106</v>
      </c>
    </row>
    <row r="105" spans="1:3">
      <c r="A105">
        <v>103</v>
      </c>
      <c r="B105">
        <v>66</v>
      </c>
      <c r="C105" t="s">
        <v>107</v>
      </c>
    </row>
    <row r="106" spans="1:3">
      <c r="A106">
        <v>104</v>
      </c>
      <c r="B106">
        <v>133</v>
      </c>
      <c r="C106" t="s">
        <v>108</v>
      </c>
    </row>
    <row r="107" spans="1:3">
      <c r="A107">
        <v>105</v>
      </c>
      <c r="B107">
        <v>33</v>
      </c>
      <c r="C107" t="s">
        <v>109</v>
      </c>
    </row>
    <row r="108" spans="1:3">
      <c r="A108">
        <v>106</v>
      </c>
      <c r="B108">
        <v>34</v>
      </c>
      <c r="C108" t="s">
        <v>110</v>
      </c>
    </row>
    <row r="109" spans="1:3">
      <c r="A109">
        <v>107</v>
      </c>
      <c r="B109">
        <v>163</v>
      </c>
      <c r="C109" t="s">
        <v>111</v>
      </c>
    </row>
    <row r="110" spans="1:3">
      <c r="A110">
        <v>108</v>
      </c>
      <c r="B110">
        <v>67</v>
      </c>
      <c r="C110" t="s">
        <v>112</v>
      </c>
    </row>
    <row r="111" spans="1:3">
      <c r="A111">
        <v>109</v>
      </c>
      <c r="B111">
        <v>68</v>
      </c>
      <c r="C111" t="s">
        <v>113</v>
      </c>
    </row>
    <row r="112" spans="1:3">
      <c r="A112">
        <v>110</v>
      </c>
      <c r="B112">
        <v>69</v>
      </c>
      <c r="C112" t="s">
        <v>114</v>
      </c>
    </row>
    <row r="113" spans="1:3">
      <c r="A113">
        <v>111</v>
      </c>
      <c r="B113">
        <v>82</v>
      </c>
      <c r="C113" t="s">
        <v>115</v>
      </c>
    </row>
    <row r="114" spans="1:3">
      <c r="A114">
        <v>112</v>
      </c>
      <c r="B114">
        <v>83</v>
      </c>
      <c r="C114" t="s">
        <v>116</v>
      </c>
    </row>
    <row r="115" spans="1:3">
      <c r="A115">
        <v>113</v>
      </c>
      <c r="B115">
        <v>84</v>
      </c>
      <c r="C115" t="s">
        <v>117</v>
      </c>
    </row>
    <row r="116" spans="1:3">
      <c r="A116">
        <v>114</v>
      </c>
      <c r="B116">
        <v>85</v>
      </c>
      <c r="C116" t="s">
        <v>118</v>
      </c>
    </row>
    <row r="117" spans="1:3">
      <c r="A117">
        <v>115</v>
      </c>
      <c r="B117">
        <v>86</v>
      </c>
      <c r="C117" t="s">
        <v>119</v>
      </c>
    </row>
    <row r="118" spans="1:3">
      <c r="A118">
        <v>116</v>
      </c>
      <c r="B118">
        <v>87</v>
      </c>
      <c r="C118" t="s">
        <v>120</v>
      </c>
    </row>
    <row r="119" spans="1:3">
      <c r="A119">
        <v>117</v>
      </c>
      <c r="B119">
        <v>111</v>
      </c>
      <c r="C119" t="s">
        <v>121</v>
      </c>
    </row>
    <row r="120" spans="1:3">
      <c r="A120">
        <v>118</v>
      </c>
      <c r="B120">
        <v>112</v>
      </c>
      <c r="C120" t="s">
        <v>122</v>
      </c>
    </row>
    <row r="121" spans="1:3">
      <c r="A121">
        <v>119</v>
      </c>
      <c r="B121">
        <v>113</v>
      </c>
      <c r="C121" t="s">
        <v>123</v>
      </c>
    </row>
    <row r="122" spans="1:3">
      <c r="A122">
        <v>120</v>
      </c>
      <c r="B122">
        <v>114</v>
      </c>
      <c r="C122" t="s">
        <v>124</v>
      </c>
    </row>
    <row r="123" spans="1:3">
      <c r="A123">
        <v>121</v>
      </c>
      <c r="B123">
        <v>70</v>
      </c>
      <c r="C123" t="s">
        <v>125</v>
      </c>
    </row>
    <row r="124" spans="1:3">
      <c r="A124">
        <v>122</v>
      </c>
      <c r="B124">
        <v>88</v>
      </c>
      <c r="C124" t="s">
        <v>126</v>
      </c>
    </row>
    <row r="125" spans="1:3">
      <c r="A125">
        <v>123</v>
      </c>
      <c r="B125">
        <v>115</v>
      </c>
      <c r="C125" t="s">
        <v>127</v>
      </c>
    </row>
    <row r="126" spans="1:3">
      <c r="A126">
        <v>124</v>
      </c>
      <c r="B126">
        <v>116</v>
      </c>
      <c r="C126" t="s">
        <v>128</v>
      </c>
    </row>
    <row r="127" spans="1:3">
      <c r="A127">
        <v>125</v>
      </c>
      <c r="B127">
        <v>117</v>
      </c>
      <c r="C127" t="s">
        <v>129</v>
      </c>
    </row>
    <row r="128" spans="1:3">
      <c r="A128">
        <v>126</v>
      </c>
      <c r="B128">
        <v>118</v>
      </c>
      <c r="C128" t="s">
        <v>130</v>
      </c>
    </row>
    <row r="129" spans="1:3">
      <c r="A129">
        <v>127</v>
      </c>
      <c r="B129">
        <v>119</v>
      </c>
      <c r="C129" t="s">
        <v>131</v>
      </c>
    </row>
    <row r="130" spans="1:3">
      <c r="A130">
        <v>128</v>
      </c>
      <c r="B130">
        <v>120</v>
      </c>
      <c r="C130" t="s">
        <v>132</v>
      </c>
    </row>
    <row r="131" spans="1:3">
      <c r="A131">
        <v>129</v>
      </c>
      <c r="B131">
        <v>121</v>
      </c>
      <c r="C131" t="s">
        <v>133</v>
      </c>
    </row>
    <row r="132" spans="1:3">
      <c r="A132">
        <v>130</v>
      </c>
      <c r="B132">
        <v>122</v>
      </c>
      <c r="C132" t="s">
        <v>134</v>
      </c>
    </row>
    <row r="133" spans="1:3">
      <c r="A133">
        <v>131</v>
      </c>
      <c r="B133">
        <v>123</v>
      </c>
      <c r="C133" t="s">
        <v>135</v>
      </c>
    </row>
    <row r="134" spans="1:3">
      <c r="A134">
        <v>132</v>
      </c>
      <c r="B134">
        <v>71</v>
      </c>
      <c r="C134" t="s">
        <v>136</v>
      </c>
    </row>
    <row r="135" spans="1:3">
      <c r="A135">
        <v>133</v>
      </c>
      <c r="B135">
        <v>135</v>
      </c>
      <c r="C135" t="s">
        <v>137</v>
      </c>
    </row>
    <row r="136" spans="1:3">
      <c r="A136">
        <v>134</v>
      </c>
      <c r="B136">
        <v>136</v>
      </c>
      <c r="C136" t="s">
        <v>138</v>
      </c>
    </row>
    <row r="137" spans="1:3">
      <c r="A137">
        <v>135</v>
      </c>
      <c r="B137">
        <v>137</v>
      </c>
      <c r="C137" t="s">
        <v>139</v>
      </c>
    </row>
    <row r="138" spans="1:3">
      <c r="A138">
        <v>136</v>
      </c>
      <c r="B138">
        <v>138</v>
      </c>
      <c r="C138" t="s">
        <v>140</v>
      </c>
    </row>
    <row r="139" spans="1:3">
      <c r="A139">
        <v>137</v>
      </c>
      <c r="B139">
        <v>139</v>
      </c>
      <c r="C139" t="s">
        <v>141</v>
      </c>
    </row>
    <row r="140" spans="1:3">
      <c r="A140">
        <v>138</v>
      </c>
      <c r="B140">
        <v>140</v>
      </c>
      <c r="C140" t="s">
        <v>142</v>
      </c>
    </row>
    <row r="141" spans="1:3">
      <c r="A141">
        <v>139</v>
      </c>
      <c r="B141">
        <v>141</v>
      </c>
      <c r="C141" t="s">
        <v>143</v>
      </c>
    </row>
    <row r="142" spans="1:3">
      <c r="A142">
        <v>140</v>
      </c>
      <c r="B142">
        <v>142</v>
      </c>
      <c r="C142" t="s">
        <v>144</v>
      </c>
    </row>
    <row r="143" spans="1:3">
      <c r="A143">
        <v>141</v>
      </c>
      <c r="B143">
        <v>143</v>
      </c>
      <c r="C143" t="s">
        <v>145</v>
      </c>
    </row>
    <row r="144" spans="1:3">
      <c r="A144">
        <v>142</v>
      </c>
      <c r="B144">
        <v>144</v>
      </c>
      <c r="C144" t="s">
        <v>146</v>
      </c>
    </row>
    <row r="145" spans="1:3">
      <c r="A145">
        <v>143</v>
      </c>
      <c r="B145">
        <v>145</v>
      </c>
      <c r="C145" t="s">
        <v>147</v>
      </c>
    </row>
    <row r="146" spans="1:3">
      <c r="A146">
        <v>144</v>
      </c>
      <c r="B146">
        <v>146</v>
      </c>
      <c r="C146" t="s">
        <v>148</v>
      </c>
    </row>
    <row r="147" spans="1:3">
      <c r="A147">
        <v>145</v>
      </c>
      <c r="B147">
        <v>147</v>
      </c>
      <c r="C147" t="s">
        <v>149</v>
      </c>
    </row>
    <row r="148" spans="1:3">
      <c r="A148">
        <v>146</v>
      </c>
      <c r="B148">
        <v>148</v>
      </c>
      <c r="C148" t="s">
        <v>150</v>
      </c>
    </row>
    <row r="149" spans="1:3">
      <c r="A149">
        <v>147</v>
      </c>
      <c r="B149">
        <v>149</v>
      </c>
      <c r="C149" t="s">
        <v>151</v>
      </c>
    </row>
    <row r="150" spans="1:3">
      <c r="A150">
        <v>148</v>
      </c>
      <c r="B150">
        <v>150</v>
      </c>
      <c r="C150" t="s">
        <v>152</v>
      </c>
    </row>
    <row r="151" spans="1:3">
      <c r="A151">
        <v>149</v>
      </c>
      <c r="B151">
        <v>89</v>
      </c>
      <c r="C151" t="s">
        <v>153</v>
      </c>
    </row>
    <row r="152" spans="1:3">
      <c r="A152">
        <v>150</v>
      </c>
      <c r="B152">
        <v>72</v>
      </c>
      <c r="C152" t="s">
        <v>154</v>
      </c>
    </row>
    <row r="153" spans="1:3">
      <c r="A153">
        <v>151</v>
      </c>
      <c r="B153">
        <v>73</v>
      </c>
      <c r="C153" t="s">
        <v>155</v>
      </c>
    </row>
    <row r="154" spans="1:3">
      <c r="A154">
        <v>152</v>
      </c>
      <c r="B154">
        <v>74</v>
      </c>
      <c r="C154" t="s">
        <v>156</v>
      </c>
    </row>
    <row r="155" spans="1:3">
      <c r="A155">
        <v>153</v>
      </c>
      <c r="B155">
        <v>75</v>
      </c>
      <c r="C155" t="s">
        <v>157</v>
      </c>
    </row>
    <row r="156" spans="1:3">
      <c r="A156">
        <v>154</v>
      </c>
      <c r="B156">
        <v>76</v>
      </c>
      <c r="C156" t="s">
        <v>158</v>
      </c>
    </row>
    <row r="157" spans="1:3">
      <c r="A157">
        <v>155</v>
      </c>
      <c r="B157">
        <v>77</v>
      </c>
      <c r="C157" t="s">
        <v>159</v>
      </c>
    </row>
    <row r="158" spans="1:3">
      <c r="A158">
        <v>156</v>
      </c>
      <c r="B158">
        <v>151</v>
      </c>
      <c r="C158" t="s">
        <v>160</v>
      </c>
    </row>
    <row r="159" spans="1:3">
      <c r="A159">
        <v>157</v>
      </c>
      <c r="B159">
        <v>152</v>
      </c>
      <c r="C159" t="s">
        <v>161</v>
      </c>
    </row>
    <row r="160" spans="1:3">
      <c r="A160">
        <v>158</v>
      </c>
      <c r="B160">
        <v>153</v>
      </c>
      <c r="C160" t="s">
        <v>162</v>
      </c>
    </row>
    <row r="161" spans="1:3">
      <c r="A161">
        <v>159</v>
      </c>
      <c r="B161">
        <v>154</v>
      </c>
      <c r="C161" t="s">
        <v>163</v>
      </c>
    </row>
    <row r="162" spans="1:3">
      <c r="A162">
        <v>160</v>
      </c>
      <c r="B162">
        <v>155</v>
      </c>
      <c r="C162" t="s">
        <v>164</v>
      </c>
    </row>
    <row r="163" spans="1:3">
      <c r="A163">
        <v>161</v>
      </c>
      <c r="B163">
        <v>90</v>
      </c>
      <c r="C163" t="s">
        <v>165</v>
      </c>
    </row>
    <row r="164" spans="1:3">
      <c r="A164">
        <v>162</v>
      </c>
      <c r="B164">
        <v>91</v>
      </c>
      <c r="C164" t="s">
        <v>166</v>
      </c>
    </row>
    <row r="165" spans="1:3">
      <c r="A165">
        <v>163</v>
      </c>
      <c r="B165">
        <v>92</v>
      </c>
      <c r="C165" t="s">
        <v>167</v>
      </c>
    </row>
  </sheetData>
  <mergeCells count="1">
    <mergeCell ref="D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workbookViewId="0">
      <selection activeCell="E3" sqref="E3"/>
    </sheetView>
  </sheetViews>
  <sheetFormatPr defaultRowHeight="15"/>
  <cols>
    <col min="1" max="1" width="8.28515625" bestFit="1" customWidth="1"/>
    <col min="2" max="2" width="9" hidden="1" customWidth="1"/>
    <col min="3" max="3" width="25.140625" bestFit="1" customWidth="1"/>
    <col min="4" max="4" width="28.7109375" bestFit="1" customWidth="1"/>
    <col min="5" max="5" width="11" customWidth="1"/>
  </cols>
  <sheetData>
    <row r="1" spans="1:5">
      <c r="A1" t="s">
        <v>2</v>
      </c>
      <c r="B1" t="s">
        <v>168</v>
      </c>
      <c r="C1" t="s">
        <v>169</v>
      </c>
      <c r="D1" t="s">
        <v>170</v>
      </c>
      <c r="E1" t="s">
        <v>171</v>
      </c>
    </row>
    <row r="2" spans="1:5">
      <c r="A2">
        <v>1</v>
      </c>
      <c r="B2">
        <v>1</v>
      </c>
      <c r="C2" t="s">
        <v>172</v>
      </c>
      <c r="D2" t="s">
        <v>173</v>
      </c>
      <c r="E2">
        <f>_xlfn.XLOOKUP(Table1[[#This Row],[DB ID]],Table2[DB ID],Table2[Input Data],"XLookUp Not Found")</f>
        <v>0</v>
      </c>
    </row>
    <row r="3" spans="1:5">
      <c r="A3">
        <v>2</v>
      </c>
      <c r="B3">
        <v>2</v>
      </c>
      <c r="C3" t="s">
        <v>172</v>
      </c>
      <c r="D3" t="s">
        <v>174</v>
      </c>
      <c r="E3">
        <f>_xlfn.XLOOKUP(Table1[[#This Row],[DB ID]],Table2[DB ID],Table2[Input Data],"XLookUp Not Found")</f>
        <v>0</v>
      </c>
    </row>
    <row r="4" spans="1:5">
      <c r="A4">
        <v>3</v>
      </c>
      <c r="B4">
        <v>3</v>
      </c>
      <c r="C4" t="s">
        <v>172</v>
      </c>
      <c r="D4" t="s">
        <v>175</v>
      </c>
      <c r="E4">
        <f>_xlfn.XLOOKUP(Table1[[#This Row],[DB ID]],Table2[DB ID],Table2[Input Data],"XLookUp Not Found")</f>
        <v>0</v>
      </c>
    </row>
    <row r="5" spans="1:5">
      <c r="A5">
        <v>4</v>
      </c>
      <c r="B5">
        <v>4</v>
      </c>
      <c r="C5" t="s">
        <v>172</v>
      </c>
      <c r="D5" t="s">
        <v>176</v>
      </c>
      <c r="E5">
        <f>_xlfn.XLOOKUP(Table1[[#This Row],[DB ID]],Table2[DB ID],Table2[Input Data],"XLookUp Not Found")</f>
        <v>0</v>
      </c>
    </row>
    <row r="6" spans="1:5">
      <c r="A6">
        <v>5</v>
      </c>
      <c r="B6">
        <v>5</v>
      </c>
      <c r="C6" t="s">
        <v>172</v>
      </c>
      <c r="D6" t="s">
        <v>177</v>
      </c>
      <c r="E6">
        <f>_xlfn.XLOOKUP(Table1[[#This Row],[DB ID]],Table2[DB ID],Table2[Input Data],"XLookUp Not Found")</f>
        <v>0</v>
      </c>
    </row>
    <row r="7" spans="1:5">
      <c r="A7">
        <v>6</v>
      </c>
      <c r="B7">
        <v>6</v>
      </c>
      <c r="C7" t="s">
        <v>172</v>
      </c>
      <c r="D7" t="s">
        <v>178</v>
      </c>
      <c r="E7">
        <f>_xlfn.XLOOKUP(Table1[[#This Row],[DB ID]],Table2[DB ID],Table2[Input Data],"XLookUp Not Found")</f>
        <v>0</v>
      </c>
    </row>
    <row r="8" spans="1:5">
      <c r="A8">
        <v>7</v>
      </c>
      <c r="B8">
        <v>7</v>
      </c>
      <c r="C8" t="s">
        <v>172</v>
      </c>
      <c r="D8" t="s">
        <v>179</v>
      </c>
      <c r="E8">
        <f>_xlfn.XLOOKUP(Table1[[#This Row],[DB ID]],Table2[DB ID],Table2[Input Data],"XLookUp Not Found")</f>
        <v>0</v>
      </c>
    </row>
    <row r="9" spans="1:5">
      <c r="A9">
        <v>8</v>
      </c>
      <c r="B9">
        <v>8</v>
      </c>
      <c r="C9" t="s">
        <v>172</v>
      </c>
      <c r="D9" t="s">
        <v>180</v>
      </c>
      <c r="E9">
        <f>_xlfn.XLOOKUP(Table1[[#This Row],[DB ID]],Table2[DB ID],Table2[Input Data],"XLookUp Not Found")</f>
        <v>0</v>
      </c>
    </row>
    <row r="10" spans="1:5">
      <c r="A10">
        <v>9</v>
      </c>
      <c r="B10">
        <v>9</v>
      </c>
      <c r="C10" t="s">
        <v>172</v>
      </c>
      <c r="D10" t="s">
        <v>181</v>
      </c>
      <c r="E10">
        <f>_xlfn.XLOOKUP(Table1[[#This Row],[DB ID]],Table2[DB ID],Table2[Input Data],"XLookUp Not Found")</f>
        <v>0</v>
      </c>
    </row>
    <row r="11" spans="1:5">
      <c r="A11">
        <v>10</v>
      </c>
      <c r="B11">
        <v>10</v>
      </c>
      <c r="C11" t="s">
        <v>172</v>
      </c>
      <c r="D11" t="s">
        <v>182</v>
      </c>
      <c r="E11">
        <f>_xlfn.XLOOKUP(Table1[[#This Row],[DB ID]],Table2[DB ID],Table2[Input Data],"XLookUp Not Found")</f>
        <v>0</v>
      </c>
    </row>
    <row r="12" spans="1:5">
      <c r="A12">
        <v>11</v>
      </c>
      <c r="B12">
        <v>11</v>
      </c>
      <c r="C12" t="s">
        <v>172</v>
      </c>
      <c r="D12" t="s">
        <v>183</v>
      </c>
      <c r="E12">
        <f>_xlfn.XLOOKUP(Table1[[#This Row],[DB ID]],Table2[DB ID],Table2[Input Data],"XLookUp Not Found")</f>
        <v>0</v>
      </c>
    </row>
    <row r="13" spans="1:5">
      <c r="A13">
        <v>12</v>
      </c>
      <c r="B13">
        <v>12</v>
      </c>
      <c r="C13" t="s">
        <v>172</v>
      </c>
      <c r="D13" t="s">
        <v>184</v>
      </c>
      <c r="E13">
        <f>_xlfn.XLOOKUP(Table1[[#This Row],[DB ID]],Table2[DB ID],Table2[Input Data],"XLookUp Not Found")</f>
        <v>0</v>
      </c>
    </row>
    <row r="14" spans="1:5">
      <c r="A14">
        <v>13</v>
      </c>
      <c r="B14">
        <v>21</v>
      </c>
      <c r="C14" t="s">
        <v>172</v>
      </c>
      <c r="D14" t="s">
        <v>185</v>
      </c>
      <c r="E14">
        <f>_xlfn.XLOOKUP(Table1[[#This Row],[DB ID]],Table2[DB ID],Table2[Input Data],"XLookUp Not Found")</f>
        <v>0</v>
      </c>
    </row>
    <row r="15" spans="1:5">
      <c r="A15">
        <v>14</v>
      </c>
      <c r="B15">
        <v>22</v>
      </c>
      <c r="C15" t="s">
        <v>172</v>
      </c>
      <c r="D15" t="s">
        <v>186</v>
      </c>
      <c r="E15">
        <f>_xlfn.XLOOKUP(Table1[[#This Row],[DB ID]],Table2[DB ID],Table2[Input Data],"XLookUp Not Found")</f>
        <v>0</v>
      </c>
    </row>
    <row r="16" spans="1:5">
      <c r="A16">
        <v>15</v>
      </c>
      <c r="B16">
        <v>23</v>
      </c>
      <c r="C16" t="s">
        <v>172</v>
      </c>
      <c r="D16" t="s">
        <v>187</v>
      </c>
      <c r="E16">
        <f>_xlfn.XLOOKUP(Table1[[#This Row],[DB ID]],Table2[DB ID],Table2[Input Data],"XLookUp Not Found")</f>
        <v>0</v>
      </c>
    </row>
    <row r="17" spans="1:5">
      <c r="A17">
        <v>16</v>
      </c>
      <c r="B17">
        <v>30</v>
      </c>
      <c r="C17" t="s">
        <v>172</v>
      </c>
      <c r="D17" t="s">
        <v>188</v>
      </c>
      <c r="E17">
        <f>_xlfn.XLOOKUP(Table1[[#This Row],[DB ID]],Table2[DB ID],Table2[Input Data],"XLookUp Not Found")</f>
        <v>0</v>
      </c>
    </row>
    <row r="18" spans="1:5">
      <c r="A18">
        <v>17</v>
      </c>
      <c r="B18">
        <v>31</v>
      </c>
      <c r="C18" t="s">
        <v>172</v>
      </c>
      <c r="D18" t="s">
        <v>189</v>
      </c>
      <c r="E18">
        <f>_xlfn.XLOOKUP(Table1[[#This Row],[DB ID]],Table2[DB ID],Table2[Input Data],"XLookUp Not Found")</f>
        <v>0</v>
      </c>
    </row>
    <row r="19" spans="1:5">
      <c r="A19">
        <v>18</v>
      </c>
      <c r="B19">
        <v>32</v>
      </c>
      <c r="C19" t="s">
        <v>172</v>
      </c>
      <c r="D19" t="s">
        <v>190</v>
      </c>
      <c r="E19">
        <f>_xlfn.XLOOKUP(Table1[[#This Row],[DB ID]],Table2[DB ID],Table2[Input Data],"XLookUp Not Found")</f>
        <v>0</v>
      </c>
    </row>
    <row r="20" spans="1:5">
      <c r="A20">
        <v>19</v>
      </c>
      <c r="B20">
        <v>40</v>
      </c>
      <c r="C20" t="s">
        <v>172</v>
      </c>
      <c r="D20" t="s">
        <v>191</v>
      </c>
      <c r="E20">
        <f>_xlfn.XLOOKUP(Table1[[#This Row],[DB ID]],Table2[DB ID],Table2[Input Data],"XLookUp Not Found")</f>
        <v>0</v>
      </c>
    </row>
    <row r="21" spans="1:5">
      <c r="A21">
        <v>20</v>
      </c>
      <c r="B21">
        <v>41</v>
      </c>
      <c r="C21" t="s">
        <v>172</v>
      </c>
      <c r="D21" t="s">
        <v>192</v>
      </c>
      <c r="E21">
        <f>_xlfn.XLOOKUP(Table1[[#This Row],[DB ID]],Table2[DB ID],Table2[Input Data],"XLookUp Not Found")</f>
        <v>0</v>
      </c>
    </row>
    <row r="22" spans="1:5">
      <c r="A22">
        <v>21</v>
      </c>
      <c r="B22">
        <v>42</v>
      </c>
      <c r="C22" t="s">
        <v>172</v>
      </c>
      <c r="D22" t="s">
        <v>193</v>
      </c>
      <c r="E22">
        <f>_xlfn.XLOOKUP(Table1[[#This Row],[DB ID]],Table2[DB ID],Table2[Input Data],"XLookUp Not Found")</f>
        <v>0</v>
      </c>
    </row>
    <row r="23" spans="1:5">
      <c r="A23">
        <v>22</v>
      </c>
      <c r="B23">
        <v>43</v>
      </c>
      <c r="C23" t="s">
        <v>172</v>
      </c>
      <c r="D23" t="s">
        <v>194</v>
      </c>
      <c r="E23">
        <f>_xlfn.XLOOKUP(Table1[[#This Row],[DB ID]],Table2[DB ID],Table2[Input Data],"XLookUp Not Found")</f>
        <v>0</v>
      </c>
    </row>
    <row r="24" spans="1:5">
      <c r="A24">
        <v>23</v>
      </c>
      <c r="B24">
        <v>49</v>
      </c>
      <c r="C24" t="s">
        <v>172</v>
      </c>
      <c r="D24" t="s">
        <v>195</v>
      </c>
      <c r="E24">
        <f>_xlfn.XLOOKUP(Table1[[#This Row],[DB ID]],Table2[DB ID],Table2[Input Data],"XLookUp Not Found")</f>
        <v>0</v>
      </c>
    </row>
    <row r="25" spans="1:5">
      <c r="A25">
        <v>24</v>
      </c>
      <c r="B25">
        <v>50</v>
      </c>
      <c r="C25" t="s">
        <v>172</v>
      </c>
      <c r="D25" t="s">
        <v>196</v>
      </c>
      <c r="E25">
        <f>_xlfn.XLOOKUP(Table1[[#This Row],[DB ID]],Table2[DB ID],Table2[Input Data],"XLookUp Not Found")</f>
        <v>0</v>
      </c>
    </row>
    <row r="26" spans="1:5">
      <c r="A26">
        <v>25</v>
      </c>
      <c r="B26">
        <v>58</v>
      </c>
      <c r="C26" t="s">
        <v>172</v>
      </c>
      <c r="D26" t="s">
        <v>197</v>
      </c>
      <c r="E26">
        <f>_xlfn.XLOOKUP(Table1[[#This Row],[DB ID]],Table2[DB ID],Table2[Input Data],"XLookUp Not Found")</f>
        <v>0</v>
      </c>
    </row>
    <row r="27" spans="1:5">
      <c r="A27">
        <v>26</v>
      </c>
      <c r="B27">
        <v>59</v>
      </c>
      <c r="C27" t="s">
        <v>172</v>
      </c>
      <c r="D27" t="s">
        <v>198</v>
      </c>
      <c r="E27">
        <f>_xlfn.XLOOKUP(Table1[[#This Row],[DB ID]],Table2[DB ID],Table2[Input Data],"XLookUp Not Found")</f>
        <v>0</v>
      </c>
    </row>
    <row r="28" spans="1:5">
      <c r="A28">
        <v>27</v>
      </c>
      <c r="B28">
        <v>70</v>
      </c>
      <c r="C28" t="s">
        <v>172</v>
      </c>
      <c r="D28" t="s">
        <v>199</v>
      </c>
      <c r="E28">
        <f>_xlfn.XLOOKUP(Table1[[#This Row],[DB ID]],Table2[DB ID],Table2[Input Data],"XLookUp Not Found")</f>
        <v>0</v>
      </c>
    </row>
    <row r="29" spans="1:5">
      <c r="A29">
        <v>28</v>
      </c>
      <c r="B29">
        <v>86</v>
      </c>
      <c r="C29" t="s">
        <v>172</v>
      </c>
      <c r="D29" t="s">
        <v>200</v>
      </c>
      <c r="E29">
        <f>_xlfn.XLOOKUP(Table1[[#This Row],[DB ID]],Table2[DB ID],Table2[Input Data],"XLookUp Not Found")</f>
        <v>0</v>
      </c>
    </row>
    <row r="30" spans="1:5">
      <c r="A30">
        <v>29</v>
      </c>
      <c r="B30">
        <v>87</v>
      </c>
      <c r="C30" t="s">
        <v>172</v>
      </c>
      <c r="D30" t="s">
        <v>201</v>
      </c>
      <c r="E30">
        <f>_xlfn.XLOOKUP(Table1[[#This Row],[DB ID]],Table2[DB ID],Table2[Input Data],"XLookUp Not Found")</f>
        <v>0</v>
      </c>
    </row>
    <row r="31" spans="1:5">
      <c r="A31">
        <v>30</v>
      </c>
      <c r="B31">
        <v>88</v>
      </c>
      <c r="C31" t="s">
        <v>172</v>
      </c>
      <c r="D31" t="s">
        <v>202</v>
      </c>
      <c r="E31">
        <f>_xlfn.XLOOKUP(Table1[[#This Row],[DB ID]],Table2[DB ID],Table2[Input Data],"XLookUp Not Found")</f>
        <v>0</v>
      </c>
    </row>
    <row r="32" spans="1:5">
      <c r="A32">
        <v>31</v>
      </c>
      <c r="B32">
        <v>94</v>
      </c>
      <c r="C32" t="s">
        <v>172</v>
      </c>
      <c r="D32" t="s">
        <v>203</v>
      </c>
      <c r="E32">
        <f>_xlfn.XLOOKUP(Table1[[#This Row],[DB ID]],Table2[DB ID],Table2[Input Data],"XLookUp Not Found")</f>
        <v>0</v>
      </c>
    </row>
    <row r="33" spans="1:5">
      <c r="A33">
        <v>32</v>
      </c>
      <c r="B33">
        <v>95</v>
      </c>
      <c r="C33" t="s">
        <v>172</v>
      </c>
      <c r="D33" t="s">
        <v>204</v>
      </c>
      <c r="E33">
        <f>_xlfn.XLOOKUP(Table1[[#This Row],[DB ID]],Table2[DB ID],Table2[Input Data],"XLookUp Not Found")</f>
        <v>0</v>
      </c>
    </row>
    <row r="34" spans="1:5">
      <c r="A34">
        <v>33</v>
      </c>
      <c r="B34">
        <v>105</v>
      </c>
      <c r="C34" t="s">
        <v>172</v>
      </c>
      <c r="D34" t="s">
        <v>205</v>
      </c>
      <c r="E34">
        <f>_xlfn.XLOOKUP(Table1[[#This Row],[DB ID]],Table2[DB ID],Table2[Input Data],"XLookUp Not Found")</f>
        <v>0</v>
      </c>
    </row>
    <row r="35" spans="1:5">
      <c r="A35">
        <v>34</v>
      </c>
      <c r="B35">
        <v>106</v>
      </c>
      <c r="C35" t="s">
        <v>172</v>
      </c>
      <c r="D35" t="s">
        <v>206</v>
      </c>
      <c r="E35">
        <f>_xlfn.XLOOKUP(Table1[[#This Row],[DB ID]],Table2[DB ID],Table2[Input Data],"XLookUp Not Found")</f>
        <v>0</v>
      </c>
    </row>
    <row r="36" spans="1:5">
      <c r="A36">
        <v>35</v>
      </c>
      <c r="B36">
        <v>33</v>
      </c>
      <c r="C36" t="s">
        <v>207</v>
      </c>
      <c r="D36" t="s">
        <v>208</v>
      </c>
      <c r="E36">
        <f>_xlfn.XLOOKUP(Table1[[#This Row],[DB ID]],Table2[DB ID],Table2[Input Data],"XLookUp Not Found")</f>
        <v>0</v>
      </c>
    </row>
    <row r="37" spans="1:5">
      <c r="A37">
        <v>36</v>
      </c>
      <c r="B37">
        <v>34</v>
      </c>
      <c r="C37" t="s">
        <v>207</v>
      </c>
      <c r="D37" t="s">
        <v>209</v>
      </c>
      <c r="E37">
        <f>_xlfn.XLOOKUP(Table1[[#This Row],[DB ID]],Table2[DB ID],Table2[Input Data],"XLookUp Not Found")</f>
        <v>0</v>
      </c>
    </row>
    <row r="38" spans="1:5">
      <c r="A38">
        <v>37</v>
      </c>
      <c r="B38">
        <v>35</v>
      </c>
      <c r="C38" t="s">
        <v>207</v>
      </c>
      <c r="D38" t="s">
        <v>210</v>
      </c>
      <c r="E38">
        <f>_xlfn.XLOOKUP(Table1[[#This Row],[DB ID]],Table2[DB ID],Table2[Input Data],"XLookUp Not Found")</f>
        <v>0</v>
      </c>
    </row>
    <row r="39" spans="1:5">
      <c r="A39">
        <v>38</v>
      </c>
      <c r="B39">
        <v>36</v>
      </c>
      <c r="C39" t="s">
        <v>207</v>
      </c>
      <c r="D39" t="s">
        <v>211</v>
      </c>
      <c r="E39">
        <f>_xlfn.XLOOKUP(Table1[[#This Row],[DB ID]],Table2[DB ID],Table2[Input Data],"XLookUp Not Found")</f>
        <v>0</v>
      </c>
    </row>
    <row r="40" spans="1:5">
      <c r="A40">
        <v>39</v>
      </c>
      <c r="B40">
        <v>37</v>
      </c>
      <c r="C40" t="s">
        <v>207</v>
      </c>
      <c r="D40" t="s">
        <v>212</v>
      </c>
      <c r="E40">
        <f>_xlfn.XLOOKUP(Table1[[#This Row],[DB ID]],Table2[DB ID],Table2[Input Data],"XLookUp Not Found")</f>
        <v>0</v>
      </c>
    </row>
    <row r="41" spans="1:5">
      <c r="A41">
        <v>40</v>
      </c>
      <c r="B41">
        <v>38</v>
      </c>
      <c r="C41" t="s">
        <v>207</v>
      </c>
      <c r="D41" t="s">
        <v>213</v>
      </c>
      <c r="E41">
        <f>_xlfn.XLOOKUP(Table1[[#This Row],[DB ID]],Table2[DB ID],Table2[Input Data],"XLookUp Not Found")</f>
        <v>0</v>
      </c>
    </row>
    <row r="42" spans="1:5">
      <c r="A42">
        <v>41</v>
      </c>
      <c r="B42">
        <v>39</v>
      </c>
      <c r="C42" t="s">
        <v>207</v>
      </c>
      <c r="D42" t="s">
        <v>214</v>
      </c>
      <c r="E42">
        <f>_xlfn.XLOOKUP(Table1[[#This Row],[DB ID]],Table2[DB ID],Table2[Input Data],"XLookUp Not Found")</f>
        <v>0</v>
      </c>
    </row>
    <row r="43" spans="1:5">
      <c r="A43">
        <v>42</v>
      </c>
      <c r="B43">
        <v>55</v>
      </c>
      <c r="C43" t="s">
        <v>207</v>
      </c>
      <c r="D43" t="s">
        <v>215</v>
      </c>
      <c r="E43">
        <f>_xlfn.XLOOKUP(Table1[[#This Row],[DB ID]],Table2[DB ID],Table2[Input Data],"XLookUp Not Found")</f>
        <v>0</v>
      </c>
    </row>
    <row r="44" spans="1:5">
      <c r="A44">
        <v>43</v>
      </c>
      <c r="B44">
        <v>56</v>
      </c>
      <c r="C44" t="s">
        <v>207</v>
      </c>
      <c r="D44" t="s">
        <v>216</v>
      </c>
      <c r="E44">
        <f>_xlfn.XLOOKUP(Table1[[#This Row],[DB ID]],Table2[DB ID],Table2[Input Data],"XLookUp Not Found")</f>
        <v>0</v>
      </c>
    </row>
    <row r="45" spans="1:5">
      <c r="A45">
        <v>44</v>
      </c>
      <c r="B45">
        <v>57</v>
      </c>
      <c r="C45" t="s">
        <v>207</v>
      </c>
      <c r="D45" t="s">
        <v>217</v>
      </c>
      <c r="E45">
        <f>_xlfn.XLOOKUP(Table1[[#This Row],[DB ID]],Table2[DB ID],Table2[Input Data],"XLookUp Not Found")</f>
        <v>0</v>
      </c>
    </row>
    <row r="46" spans="1:5">
      <c r="A46">
        <v>45</v>
      </c>
      <c r="B46">
        <v>16</v>
      </c>
      <c r="C46" t="s">
        <v>218</v>
      </c>
      <c r="D46" t="s">
        <v>219</v>
      </c>
      <c r="E46">
        <f>_xlfn.XLOOKUP(Table1[[#This Row],[DB ID]],Table2[DB ID],Table2[Input Data],"XLookUp Not Found")</f>
        <v>0</v>
      </c>
    </row>
    <row r="47" spans="1:5">
      <c r="A47">
        <v>46</v>
      </c>
      <c r="B47">
        <v>17</v>
      </c>
      <c r="C47" t="s">
        <v>218</v>
      </c>
      <c r="D47" t="s">
        <v>220</v>
      </c>
      <c r="E47">
        <f>_xlfn.XLOOKUP(Table1[[#This Row],[DB ID]],Table2[DB ID],Table2[Input Data],"XLookUp Not Found")</f>
        <v>0</v>
      </c>
    </row>
    <row r="48" spans="1:5">
      <c r="A48">
        <v>47</v>
      </c>
      <c r="B48">
        <v>18</v>
      </c>
      <c r="C48" t="s">
        <v>218</v>
      </c>
      <c r="D48" t="s">
        <v>221</v>
      </c>
      <c r="E48">
        <f>_xlfn.XLOOKUP(Table1[[#This Row],[DB ID]],Table2[DB ID],Table2[Input Data],"XLookUp Not Found")</f>
        <v>0</v>
      </c>
    </row>
    <row r="49" spans="1:5">
      <c r="A49">
        <v>48</v>
      </c>
      <c r="B49">
        <v>19</v>
      </c>
      <c r="C49" t="s">
        <v>218</v>
      </c>
      <c r="D49" t="s">
        <v>222</v>
      </c>
      <c r="E49">
        <f>_xlfn.XLOOKUP(Table1[[#This Row],[DB ID]],Table2[DB ID],Table2[Input Data],"XLookUp Not Found")</f>
        <v>0</v>
      </c>
    </row>
    <row r="50" spans="1:5">
      <c r="A50">
        <v>49</v>
      </c>
      <c r="B50">
        <v>20</v>
      </c>
      <c r="C50" t="s">
        <v>218</v>
      </c>
      <c r="D50" t="s">
        <v>223</v>
      </c>
      <c r="E50">
        <f>_xlfn.XLOOKUP(Table1[[#This Row],[DB ID]],Table2[DB ID],Table2[Input Data],"XLookUp Not Found")</f>
        <v>0</v>
      </c>
    </row>
    <row r="51" spans="1:5">
      <c r="A51">
        <v>50</v>
      </c>
      <c r="B51">
        <v>24</v>
      </c>
      <c r="C51" t="s">
        <v>218</v>
      </c>
      <c r="D51" t="s">
        <v>224</v>
      </c>
      <c r="E51">
        <f>_xlfn.XLOOKUP(Table1[[#This Row],[DB ID]],Table2[DB ID],Table2[Input Data],"XLookUp Not Found")</f>
        <v>0</v>
      </c>
    </row>
    <row r="52" spans="1:5">
      <c r="A52">
        <v>51</v>
      </c>
      <c r="B52">
        <v>25</v>
      </c>
      <c r="C52" t="s">
        <v>218</v>
      </c>
      <c r="D52" t="s">
        <v>225</v>
      </c>
      <c r="E52">
        <f>_xlfn.XLOOKUP(Table1[[#This Row],[DB ID]],Table2[DB ID],Table2[Input Data],"XLookUp Not Found")</f>
        <v>0</v>
      </c>
    </row>
    <row r="53" spans="1:5">
      <c r="A53">
        <v>52</v>
      </c>
      <c r="B53">
        <v>26</v>
      </c>
      <c r="C53" t="s">
        <v>218</v>
      </c>
      <c r="D53" t="s">
        <v>226</v>
      </c>
      <c r="E53">
        <f>_xlfn.XLOOKUP(Table1[[#This Row],[DB ID]],Table2[DB ID],Table2[Input Data],"XLookUp Not Found")</f>
        <v>0</v>
      </c>
    </row>
    <row r="54" spans="1:5">
      <c r="A54">
        <v>53</v>
      </c>
      <c r="B54">
        <v>27</v>
      </c>
      <c r="C54" t="s">
        <v>218</v>
      </c>
      <c r="D54" t="s">
        <v>227</v>
      </c>
      <c r="E54">
        <f>_xlfn.XLOOKUP(Table1[[#This Row],[DB ID]],Table2[DB ID],Table2[Input Data],"XLookUp Not Found")</f>
        <v>0</v>
      </c>
    </row>
    <row r="55" spans="1:5">
      <c r="A55">
        <v>54</v>
      </c>
      <c r="B55">
        <v>28</v>
      </c>
      <c r="C55" t="s">
        <v>218</v>
      </c>
      <c r="D55" t="s">
        <v>228</v>
      </c>
      <c r="E55">
        <f>_xlfn.XLOOKUP(Table1[[#This Row],[DB ID]],Table2[DB ID],Table2[Input Data],"XLookUp Not Found")</f>
        <v>0</v>
      </c>
    </row>
    <row r="56" spans="1:5">
      <c r="A56">
        <v>55</v>
      </c>
      <c r="B56">
        <v>66</v>
      </c>
      <c r="C56" t="s">
        <v>218</v>
      </c>
      <c r="D56" t="s">
        <v>229</v>
      </c>
      <c r="E56">
        <f>_xlfn.XLOOKUP(Table1[[#This Row],[DB ID]],Table2[DB ID],Table2[Input Data],"XLookUp Not Found")</f>
        <v>0</v>
      </c>
    </row>
    <row r="57" spans="1:5">
      <c r="A57">
        <v>56</v>
      </c>
      <c r="B57">
        <v>71</v>
      </c>
      <c r="C57" t="s">
        <v>218</v>
      </c>
      <c r="D57" t="s">
        <v>230</v>
      </c>
      <c r="E57">
        <f>_xlfn.XLOOKUP(Table1[[#This Row],[DB ID]],Table2[DB ID],Table2[Input Data],"XLookUp Not Found")</f>
        <v>0</v>
      </c>
    </row>
    <row r="58" spans="1:5">
      <c r="A58">
        <v>57</v>
      </c>
      <c r="B58">
        <v>77</v>
      </c>
      <c r="C58" t="s">
        <v>218</v>
      </c>
      <c r="D58" t="s">
        <v>231</v>
      </c>
      <c r="E58">
        <f>_xlfn.XLOOKUP(Table1[[#This Row],[DB ID]],Table2[DB ID],Table2[Input Data],"XLookUp Not Found")</f>
        <v>0</v>
      </c>
    </row>
    <row r="59" spans="1:5">
      <c r="A59">
        <v>58</v>
      </c>
      <c r="B59">
        <v>93</v>
      </c>
      <c r="C59" t="s">
        <v>218</v>
      </c>
      <c r="D59" t="s">
        <v>232</v>
      </c>
      <c r="E59">
        <f>_xlfn.XLOOKUP(Table1[[#This Row],[DB ID]],Table2[DB ID],Table2[Input Data],"XLookUp Not Found")</f>
        <v>0</v>
      </c>
    </row>
    <row r="60" spans="1:5">
      <c r="A60">
        <v>59</v>
      </c>
      <c r="B60">
        <v>96</v>
      </c>
      <c r="C60" t="s">
        <v>218</v>
      </c>
      <c r="D60" t="s">
        <v>233</v>
      </c>
      <c r="E60">
        <f>_xlfn.XLOOKUP(Table1[[#This Row],[DB ID]],Table2[DB ID],Table2[Input Data],"XLookUp Not Found")</f>
        <v>0</v>
      </c>
    </row>
    <row r="61" spans="1:5">
      <c r="A61">
        <v>60</v>
      </c>
      <c r="B61">
        <v>97</v>
      </c>
      <c r="C61" t="s">
        <v>218</v>
      </c>
      <c r="D61" t="s">
        <v>234</v>
      </c>
      <c r="E61">
        <f>_xlfn.XLOOKUP(Table1[[#This Row],[DB ID]],Table2[DB ID],Table2[Input Data],"XLookUp Not Found")</f>
        <v>0</v>
      </c>
    </row>
    <row r="62" spans="1:5">
      <c r="A62">
        <v>61</v>
      </c>
      <c r="B62">
        <v>98</v>
      </c>
      <c r="C62" t="s">
        <v>218</v>
      </c>
      <c r="D62" t="s">
        <v>235</v>
      </c>
      <c r="E62">
        <f>_xlfn.XLOOKUP(Table1[[#This Row],[DB ID]],Table2[DB ID],Table2[Input Data],"XLookUp Not Found")</f>
        <v>0</v>
      </c>
    </row>
    <row r="63" spans="1:5">
      <c r="A63">
        <v>62</v>
      </c>
      <c r="B63">
        <v>99</v>
      </c>
      <c r="C63" t="s">
        <v>218</v>
      </c>
      <c r="D63" t="s">
        <v>236</v>
      </c>
      <c r="E63">
        <f>_xlfn.XLOOKUP(Table1[[#This Row],[DB ID]],Table2[DB ID],Table2[Input Data],"XLookUp Not Found")</f>
        <v>0</v>
      </c>
    </row>
    <row r="64" spans="1:5">
      <c r="A64">
        <v>63</v>
      </c>
      <c r="B64">
        <v>100</v>
      </c>
      <c r="C64" t="s">
        <v>218</v>
      </c>
      <c r="D64" t="s">
        <v>237</v>
      </c>
      <c r="E64">
        <f>_xlfn.XLOOKUP(Table1[[#This Row],[DB ID]],Table2[DB ID],Table2[Input Data],"XLookUp Not Found")</f>
        <v>0</v>
      </c>
    </row>
    <row r="65" spans="1:5">
      <c r="A65">
        <v>64</v>
      </c>
      <c r="B65">
        <v>101</v>
      </c>
      <c r="C65" t="s">
        <v>218</v>
      </c>
      <c r="D65" t="s">
        <v>238</v>
      </c>
      <c r="E65">
        <f>_xlfn.XLOOKUP(Table1[[#This Row],[DB ID]],Table2[DB ID],Table2[Input Data],"XLookUp Not Found")</f>
        <v>0</v>
      </c>
    </row>
    <row r="66" spans="1:5">
      <c r="A66">
        <v>65</v>
      </c>
      <c r="B66">
        <v>102</v>
      </c>
      <c r="C66" t="s">
        <v>218</v>
      </c>
      <c r="D66" t="s">
        <v>239</v>
      </c>
      <c r="E66">
        <f>_xlfn.XLOOKUP(Table1[[#This Row],[DB ID]],Table2[DB ID],Table2[Input Data],"XLookUp Not Found")</f>
        <v>0</v>
      </c>
    </row>
    <row r="67" spans="1:5">
      <c r="A67">
        <v>66</v>
      </c>
      <c r="B67">
        <v>103</v>
      </c>
      <c r="C67" t="s">
        <v>218</v>
      </c>
      <c r="D67" t="s">
        <v>240</v>
      </c>
      <c r="E67">
        <f>_xlfn.XLOOKUP(Table1[[#This Row],[DB ID]],Table2[DB ID],Table2[Input Data],"XLookUp Not Found")</f>
        <v>0</v>
      </c>
    </row>
    <row r="68" spans="1:5">
      <c r="A68">
        <v>67</v>
      </c>
      <c r="B68">
        <v>108</v>
      </c>
      <c r="C68" t="s">
        <v>218</v>
      </c>
      <c r="D68" t="s">
        <v>241</v>
      </c>
      <c r="E68">
        <f>_xlfn.XLOOKUP(Table1[[#This Row],[DB ID]],Table2[DB ID],Table2[Input Data],"XLookUp Not Found")</f>
        <v>0</v>
      </c>
    </row>
    <row r="69" spans="1:5">
      <c r="A69">
        <v>68</v>
      </c>
      <c r="B69">
        <v>109</v>
      </c>
      <c r="C69" t="s">
        <v>218</v>
      </c>
      <c r="D69" t="s">
        <v>242</v>
      </c>
      <c r="E69">
        <f>_xlfn.XLOOKUP(Table1[[#This Row],[DB ID]],Table2[DB ID],Table2[Input Data],"XLookUp Not Found")</f>
        <v>0</v>
      </c>
    </row>
    <row r="70" spans="1:5">
      <c r="A70">
        <v>69</v>
      </c>
      <c r="B70">
        <v>110</v>
      </c>
      <c r="C70" t="s">
        <v>218</v>
      </c>
      <c r="D70" t="s">
        <v>243</v>
      </c>
      <c r="E70">
        <f>_xlfn.XLOOKUP(Table1[[#This Row],[DB ID]],Table2[DB ID],Table2[Input Data],"XLookUp Not Found")</f>
        <v>0</v>
      </c>
    </row>
    <row r="71" spans="1:5">
      <c r="A71">
        <v>70</v>
      </c>
      <c r="B71">
        <v>121</v>
      </c>
      <c r="C71" t="s">
        <v>244</v>
      </c>
      <c r="D71" t="s">
        <v>245</v>
      </c>
      <c r="E71">
        <f>_xlfn.XLOOKUP(Table1[[#This Row],[DB ID]],Table2[DB ID],Table2[Input Data],"XLookUp Not Found")</f>
        <v>0</v>
      </c>
    </row>
    <row r="72" spans="1:5">
      <c r="A72">
        <v>71</v>
      </c>
      <c r="B72">
        <v>132</v>
      </c>
      <c r="C72" t="s">
        <v>244</v>
      </c>
      <c r="D72" t="s">
        <v>246</v>
      </c>
      <c r="E72">
        <f>_xlfn.XLOOKUP(Table1[[#This Row],[DB ID]],Table2[DB ID],Table2[Input Data],"XLookUp Not Found")</f>
        <v>0</v>
      </c>
    </row>
    <row r="73" spans="1:5">
      <c r="A73">
        <v>72</v>
      </c>
      <c r="B73">
        <v>150</v>
      </c>
      <c r="C73" t="s">
        <v>244</v>
      </c>
      <c r="D73" t="s">
        <v>247</v>
      </c>
      <c r="E73">
        <f>_xlfn.XLOOKUP(Table1[[#This Row],[DB ID]],Table2[DB ID],Table2[Input Data],"XLookUp Not Found")</f>
        <v>0</v>
      </c>
    </row>
    <row r="74" spans="1:5">
      <c r="A74">
        <v>73</v>
      </c>
      <c r="B74">
        <v>151</v>
      </c>
      <c r="C74" t="s">
        <v>244</v>
      </c>
      <c r="D74" t="s">
        <v>248</v>
      </c>
      <c r="E74">
        <f>_xlfn.XLOOKUP(Table1[[#This Row],[DB ID]],Table2[DB ID],Table2[Input Data],"XLookUp Not Found")</f>
        <v>0</v>
      </c>
    </row>
    <row r="75" spans="1:5">
      <c r="A75">
        <v>74</v>
      </c>
      <c r="B75">
        <v>152</v>
      </c>
      <c r="C75" t="s">
        <v>244</v>
      </c>
      <c r="D75" t="s">
        <v>249</v>
      </c>
      <c r="E75">
        <f>_xlfn.XLOOKUP(Table1[[#This Row],[DB ID]],Table2[DB ID],Table2[Input Data],"XLookUp Not Found")</f>
        <v>0</v>
      </c>
    </row>
    <row r="76" spans="1:5">
      <c r="A76">
        <v>75</v>
      </c>
      <c r="B76">
        <v>153</v>
      </c>
      <c r="C76" t="s">
        <v>244</v>
      </c>
      <c r="D76" t="s">
        <v>250</v>
      </c>
      <c r="E76">
        <f>_xlfn.XLOOKUP(Table1[[#This Row],[DB ID]],Table2[DB ID],Table2[Input Data],"XLookUp Not Found")</f>
        <v>0</v>
      </c>
    </row>
    <row r="77" spans="1:5">
      <c r="A77">
        <v>76</v>
      </c>
      <c r="B77">
        <v>154</v>
      </c>
      <c r="C77" t="s">
        <v>244</v>
      </c>
      <c r="D77" t="s">
        <v>251</v>
      </c>
      <c r="E77">
        <f>_xlfn.XLOOKUP(Table1[[#This Row],[DB ID]],Table2[DB ID],Table2[Input Data],"XLookUp Not Found")</f>
        <v>0</v>
      </c>
    </row>
    <row r="78" spans="1:5">
      <c r="A78">
        <v>77</v>
      </c>
      <c r="B78">
        <v>155</v>
      </c>
      <c r="C78" t="s">
        <v>244</v>
      </c>
      <c r="D78" t="s">
        <v>252</v>
      </c>
      <c r="E78">
        <f>_xlfn.XLOOKUP(Table1[[#This Row],[DB ID]],Table2[DB ID],Table2[Input Data],"XLookUp Not Found")</f>
        <v>0</v>
      </c>
    </row>
    <row r="79" spans="1:5">
      <c r="A79">
        <v>78</v>
      </c>
      <c r="B79">
        <v>13</v>
      </c>
      <c r="C79" t="s">
        <v>253</v>
      </c>
      <c r="D79" t="s">
        <v>254</v>
      </c>
      <c r="E79">
        <f>_xlfn.XLOOKUP(Table1[[#This Row],[DB ID]],Table2[DB ID],Table2[Input Data],"XLookUp Not Found")</f>
        <v>0</v>
      </c>
    </row>
    <row r="80" spans="1:5">
      <c r="A80">
        <v>79</v>
      </c>
      <c r="B80">
        <v>14</v>
      </c>
      <c r="C80" t="s">
        <v>253</v>
      </c>
      <c r="D80" t="s">
        <v>255</v>
      </c>
      <c r="E80">
        <f>_xlfn.XLOOKUP(Table1[[#This Row],[DB ID]],Table2[DB ID],Table2[Input Data],"XLookUp Not Found")</f>
        <v>0</v>
      </c>
    </row>
    <row r="81" spans="1:5">
      <c r="A81">
        <v>80</v>
      </c>
      <c r="B81">
        <v>15</v>
      </c>
      <c r="C81" t="s">
        <v>253</v>
      </c>
      <c r="D81" t="s">
        <v>256</v>
      </c>
      <c r="E81">
        <f>_xlfn.XLOOKUP(Table1[[#This Row],[DB ID]],Table2[DB ID],Table2[Input Data],"XLookUp Not Found")</f>
        <v>0</v>
      </c>
    </row>
    <row r="82" spans="1:5">
      <c r="A82">
        <v>81</v>
      </c>
      <c r="B82">
        <v>89</v>
      </c>
      <c r="C82" t="s">
        <v>253</v>
      </c>
      <c r="D82" t="s">
        <v>257</v>
      </c>
      <c r="E82">
        <f>_xlfn.XLOOKUP(Table1[[#This Row],[DB ID]],Table2[DB ID],Table2[Input Data],"XLookUp Not Found")</f>
        <v>0</v>
      </c>
    </row>
    <row r="83" spans="1:5">
      <c r="A83">
        <v>82</v>
      </c>
      <c r="B83">
        <v>111</v>
      </c>
      <c r="C83" t="s">
        <v>253</v>
      </c>
      <c r="D83" t="s">
        <v>258</v>
      </c>
      <c r="E83">
        <f>_xlfn.XLOOKUP(Table1[[#This Row],[DB ID]],Table2[DB ID],Table2[Input Data],"XLookUp Not Found")</f>
        <v>0</v>
      </c>
    </row>
    <row r="84" spans="1:5">
      <c r="A84">
        <v>83</v>
      </c>
      <c r="B84">
        <v>112</v>
      </c>
      <c r="C84" t="s">
        <v>253</v>
      </c>
      <c r="D84" t="s">
        <v>259</v>
      </c>
      <c r="E84">
        <f>_xlfn.XLOOKUP(Table1[[#This Row],[DB ID]],Table2[DB ID],Table2[Input Data],"XLookUp Not Found")</f>
        <v>0</v>
      </c>
    </row>
    <row r="85" spans="1:5">
      <c r="A85">
        <v>84</v>
      </c>
      <c r="B85">
        <v>113</v>
      </c>
      <c r="C85" t="s">
        <v>253</v>
      </c>
      <c r="D85" t="s">
        <v>260</v>
      </c>
      <c r="E85">
        <f>_xlfn.XLOOKUP(Table1[[#This Row],[DB ID]],Table2[DB ID],Table2[Input Data],"XLookUp Not Found")</f>
        <v>0</v>
      </c>
    </row>
    <row r="86" spans="1:5">
      <c r="A86">
        <v>85</v>
      </c>
      <c r="B86">
        <v>114</v>
      </c>
      <c r="C86" t="s">
        <v>253</v>
      </c>
      <c r="D86" t="s">
        <v>261</v>
      </c>
      <c r="E86">
        <f>_xlfn.XLOOKUP(Table1[[#This Row],[DB ID]],Table2[DB ID],Table2[Input Data],"XLookUp Not Found")</f>
        <v>0</v>
      </c>
    </row>
    <row r="87" spans="1:5">
      <c r="A87">
        <v>86</v>
      </c>
      <c r="B87">
        <v>115</v>
      </c>
      <c r="C87" t="s">
        <v>253</v>
      </c>
      <c r="D87" t="s">
        <v>262</v>
      </c>
      <c r="E87">
        <f>_xlfn.XLOOKUP(Table1[[#This Row],[DB ID]],Table2[DB ID],Table2[Input Data],"XLookUp Not Found")</f>
        <v>0</v>
      </c>
    </row>
    <row r="88" spans="1:5">
      <c r="A88">
        <v>87</v>
      </c>
      <c r="B88">
        <v>116</v>
      </c>
      <c r="C88" t="s">
        <v>253</v>
      </c>
      <c r="D88" t="s">
        <v>263</v>
      </c>
      <c r="E88">
        <f>_xlfn.XLOOKUP(Table1[[#This Row],[DB ID]],Table2[DB ID],Table2[Input Data],"XLookUp Not Found")</f>
        <v>0</v>
      </c>
    </row>
    <row r="89" spans="1:5">
      <c r="A89">
        <v>88</v>
      </c>
      <c r="B89">
        <v>122</v>
      </c>
      <c r="C89" t="s">
        <v>253</v>
      </c>
      <c r="D89" t="s">
        <v>264</v>
      </c>
      <c r="E89">
        <f>_xlfn.XLOOKUP(Table1[[#This Row],[DB ID]],Table2[DB ID],Table2[Input Data],"XLookUp Not Found")</f>
        <v>0</v>
      </c>
    </row>
    <row r="90" spans="1:5">
      <c r="A90">
        <v>89</v>
      </c>
      <c r="B90">
        <v>149</v>
      </c>
      <c r="C90" t="s">
        <v>253</v>
      </c>
      <c r="D90" t="s">
        <v>265</v>
      </c>
      <c r="E90">
        <f>_xlfn.XLOOKUP(Table1[[#This Row],[DB ID]],Table2[DB ID],Table2[Input Data],"XLookUp Not Found")</f>
        <v>0</v>
      </c>
    </row>
    <row r="91" spans="1:5">
      <c r="A91">
        <v>90</v>
      </c>
      <c r="B91">
        <v>161</v>
      </c>
      <c r="C91" t="s">
        <v>253</v>
      </c>
      <c r="D91" t="s">
        <v>266</v>
      </c>
      <c r="E91">
        <f>_xlfn.XLOOKUP(Table1[[#This Row],[DB ID]],Table2[DB ID],Table2[Input Data],"XLookUp Not Found")</f>
        <v>0</v>
      </c>
    </row>
    <row r="92" spans="1:5">
      <c r="A92">
        <v>91</v>
      </c>
      <c r="B92">
        <v>162</v>
      </c>
      <c r="C92" t="s">
        <v>253</v>
      </c>
      <c r="D92" t="s">
        <v>267</v>
      </c>
      <c r="E92">
        <f>_xlfn.XLOOKUP(Table1[[#This Row],[DB ID]],Table2[DB ID],Table2[Input Data],"XLookUp Not Found")</f>
        <v>0</v>
      </c>
    </row>
    <row r="93" spans="1:5">
      <c r="A93">
        <v>92</v>
      </c>
      <c r="B93">
        <v>163</v>
      </c>
      <c r="C93" t="s">
        <v>253</v>
      </c>
      <c r="D93" t="s">
        <v>268</v>
      </c>
      <c r="E93">
        <f>_xlfn.XLOOKUP(Table1[[#This Row],[DB ID]],Table2[DB ID],Table2[Input Data],"XLookUp Not Found")</f>
        <v>0</v>
      </c>
    </row>
    <row r="94" spans="1:5">
      <c r="A94">
        <v>93</v>
      </c>
      <c r="B94">
        <v>60</v>
      </c>
      <c r="C94" t="s">
        <v>269</v>
      </c>
      <c r="D94" t="s">
        <v>270</v>
      </c>
      <c r="E94">
        <f>_xlfn.XLOOKUP(Table1[[#This Row],[DB ID]],Table2[DB ID],Table2[Input Data],"XLookUp Not Found")</f>
        <v>0</v>
      </c>
    </row>
    <row r="95" spans="1:5">
      <c r="A95">
        <v>94</v>
      </c>
      <c r="B95">
        <v>61</v>
      </c>
      <c r="C95" t="s">
        <v>269</v>
      </c>
      <c r="D95" t="s">
        <v>271</v>
      </c>
      <c r="E95">
        <f>_xlfn.XLOOKUP(Table1[[#This Row],[DB ID]],Table2[DB ID],Table2[Input Data],"XLookUp Not Found")</f>
        <v>0</v>
      </c>
    </row>
    <row r="96" spans="1:5">
      <c r="A96">
        <v>95</v>
      </c>
      <c r="B96">
        <v>62</v>
      </c>
      <c r="C96" t="s">
        <v>269</v>
      </c>
      <c r="D96" t="s">
        <v>272</v>
      </c>
      <c r="E96">
        <f>_xlfn.XLOOKUP(Table1[[#This Row],[DB ID]],Table2[DB ID],Table2[Input Data],"XLookUp Not Found")</f>
        <v>0</v>
      </c>
    </row>
    <row r="97" spans="1:5">
      <c r="A97">
        <v>96</v>
      </c>
      <c r="B97">
        <v>63</v>
      </c>
      <c r="C97" t="s">
        <v>269</v>
      </c>
      <c r="D97" t="s">
        <v>273</v>
      </c>
      <c r="E97">
        <f>_xlfn.XLOOKUP(Table1[[#This Row],[DB ID]],Table2[DB ID],Table2[Input Data],"XLookUp Not Found")</f>
        <v>0</v>
      </c>
    </row>
    <row r="98" spans="1:5">
      <c r="A98">
        <v>97</v>
      </c>
      <c r="B98">
        <v>64</v>
      </c>
      <c r="C98" t="s">
        <v>269</v>
      </c>
      <c r="D98" t="s">
        <v>274</v>
      </c>
      <c r="E98">
        <f>_xlfn.XLOOKUP(Table1[[#This Row],[DB ID]],Table2[DB ID],Table2[Input Data],"XLookUp Not Found")</f>
        <v>0</v>
      </c>
    </row>
    <row r="99" spans="1:5">
      <c r="A99">
        <v>98</v>
      </c>
      <c r="B99">
        <v>65</v>
      </c>
      <c r="C99" t="s">
        <v>269</v>
      </c>
      <c r="D99" t="s">
        <v>275</v>
      </c>
      <c r="E99">
        <f>_xlfn.XLOOKUP(Table1[[#This Row],[DB ID]],Table2[DB ID],Table2[Input Data],"XLookUp Not Found")</f>
        <v>0</v>
      </c>
    </row>
    <row r="100" spans="1:5">
      <c r="A100">
        <v>99</v>
      </c>
      <c r="B100">
        <v>67</v>
      </c>
      <c r="C100" t="s">
        <v>269</v>
      </c>
      <c r="D100" t="s">
        <v>276</v>
      </c>
      <c r="E100">
        <f>_xlfn.XLOOKUP(Table1[[#This Row],[DB ID]],Table2[DB ID],Table2[Input Data],"XLookUp Not Found")</f>
        <v>0</v>
      </c>
    </row>
    <row r="101" spans="1:5">
      <c r="A101">
        <v>100</v>
      </c>
      <c r="B101">
        <v>68</v>
      </c>
      <c r="C101" t="s">
        <v>269</v>
      </c>
      <c r="D101" t="s">
        <v>277</v>
      </c>
      <c r="E101">
        <f>_xlfn.XLOOKUP(Table1[[#This Row],[DB ID]],Table2[DB ID],Table2[Input Data],"XLookUp Not Found")</f>
        <v>0</v>
      </c>
    </row>
    <row r="102" spans="1:5">
      <c r="A102">
        <v>101</v>
      </c>
      <c r="B102">
        <v>69</v>
      </c>
      <c r="C102" t="s">
        <v>269</v>
      </c>
      <c r="D102" t="s">
        <v>278</v>
      </c>
      <c r="E102">
        <f>_xlfn.XLOOKUP(Table1[[#This Row],[DB ID]],Table2[DB ID],Table2[Input Data],"XLookUp Not Found")</f>
        <v>0</v>
      </c>
    </row>
    <row r="103" spans="1:5">
      <c r="A103">
        <v>102</v>
      </c>
      <c r="B103">
        <v>72</v>
      </c>
      <c r="C103" t="s">
        <v>269</v>
      </c>
      <c r="D103" t="s">
        <v>279</v>
      </c>
      <c r="E103">
        <f>_xlfn.XLOOKUP(Table1[[#This Row],[DB ID]],Table2[DB ID],Table2[Input Data],"XLookUp Not Found")</f>
        <v>0</v>
      </c>
    </row>
    <row r="104" spans="1:5">
      <c r="A104">
        <v>103</v>
      </c>
      <c r="B104">
        <v>73</v>
      </c>
      <c r="C104" t="s">
        <v>269</v>
      </c>
      <c r="D104" t="s">
        <v>280</v>
      </c>
      <c r="E104">
        <f>_xlfn.XLOOKUP(Table1[[#This Row],[DB ID]],Table2[DB ID],Table2[Input Data],"XLookUp Not Found")</f>
        <v>0</v>
      </c>
    </row>
    <row r="105" spans="1:5">
      <c r="A105">
        <v>104</v>
      </c>
      <c r="B105">
        <v>74</v>
      </c>
      <c r="C105" t="s">
        <v>269</v>
      </c>
      <c r="D105" t="s">
        <v>281</v>
      </c>
      <c r="E105">
        <f>_xlfn.XLOOKUP(Table1[[#This Row],[DB ID]],Table2[DB ID],Table2[Input Data],"XLookUp Not Found")</f>
        <v>0</v>
      </c>
    </row>
    <row r="106" spans="1:5">
      <c r="A106">
        <v>105</v>
      </c>
      <c r="B106">
        <v>75</v>
      </c>
      <c r="C106" t="s">
        <v>269</v>
      </c>
      <c r="D106" t="s">
        <v>282</v>
      </c>
      <c r="E106">
        <f>_xlfn.XLOOKUP(Table1[[#This Row],[DB ID]],Table2[DB ID],Table2[Input Data],"XLookUp Not Found")</f>
        <v>0</v>
      </c>
    </row>
    <row r="107" spans="1:5">
      <c r="A107">
        <v>106</v>
      </c>
      <c r="B107">
        <v>76</v>
      </c>
      <c r="C107" t="s">
        <v>269</v>
      </c>
      <c r="D107" t="s">
        <v>283</v>
      </c>
      <c r="E107">
        <f>_xlfn.XLOOKUP(Table1[[#This Row],[DB ID]],Table2[DB ID],Table2[Input Data],"XLookUp Not Found")</f>
        <v>0</v>
      </c>
    </row>
    <row r="108" spans="1:5">
      <c r="A108">
        <v>107</v>
      </c>
      <c r="B108">
        <v>78</v>
      </c>
      <c r="C108" t="s">
        <v>269</v>
      </c>
      <c r="D108" t="s">
        <v>284</v>
      </c>
      <c r="E108">
        <f>_xlfn.XLOOKUP(Table1[[#This Row],[DB ID]],Table2[DB ID],Table2[Input Data],"XLookUp Not Found")</f>
        <v>0</v>
      </c>
    </row>
    <row r="109" spans="1:5">
      <c r="A109">
        <v>108</v>
      </c>
      <c r="B109">
        <v>79</v>
      </c>
      <c r="C109" t="s">
        <v>269</v>
      </c>
      <c r="D109" t="s">
        <v>285</v>
      </c>
      <c r="E109">
        <f>_xlfn.XLOOKUP(Table1[[#This Row],[DB ID]],Table2[DB ID],Table2[Input Data],"XLookUp Not Found")</f>
        <v>0</v>
      </c>
    </row>
    <row r="110" spans="1:5">
      <c r="A110">
        <v>109</v>
      </c>
      <c r="B110">
        <v>80</v>
      </c>
      <c r="C110" t="s">
        <v>269</v>
      </c>
      <c r="D110" t="s">
        <v>286</v>
      </c>
      <c r="E110">
        <f>_xlfn.XLOOKUP(Table1[[#This Row],[DB ID]],Table2[DB ID],Table2[Input Data],"XLookUp Not Found")</f>
        <v>0</v>
      </c>
    </row>
    <row r="111" spans="1:5">
      <c r="A111">
        <v>110</v>
      </c>
      <c r="B111">
        <v>90</v>
      </c>
      <c r="C111" t="s">
        <v>287</v>
      </c>
      <c r="D111" t="s">
        <v>288</v>
      </c>
      <c r="E111">
        <f>_xlfn.XLOOKUP(Table1[[#This Row],[DB ID]],Table2[DB ID],Table2[Input Data],"XLookUp Not Found")</f>
        <v>0</v>
      </c>
    </row>
    <row r="112" spans="1:5">
      <c r="A112">
        <v>111</v>
      </c>
      <c r="B112">
        <v>117</v>
      </c>
      <c r="C112" t="s">
        <v>287</v>
      </c>
      <c r="D112" t="s">
        <v>289</v>
      </c>
      <c r="E112">
        <f>_xlfn.XLOOKUP(Table1[[#This Row],[DB ID]],Table2[DB ID],Table2[Input Data],"XLookUp Not Found")</f>
        <v>0</v>
      </c>
    </row>
    <row r="113" spans="1:5">
      <c r="A113">
        <v>112</v>
      </c>
      <c r="B113">
        <v>118</v>
      </c>
      <c r="C113" t="s">
        <v>287</v>
      </c>
      <c r="D113" t="s">
        <v>290</v>
      </c>
      <c r="E113">
        <f>_xlfn.XLOOKUP(Table1[[#This Row],[DB ID]],Table2[DB ID],Table2[Input Data],"XLookUp Not Found")</f>
        <v>0</v>
      </c>
    </row>
    <row r="114" spans="1:5">
      <c r="A114">
        <v>113</v>
      </c>
      <c r="B114">
        <v>119</v>
      </c>
      <c r="C114" t="s">
        <v>287</v>
      </c>
      <c r="D114" t="s">
        <v>291</v>
      </c>
      <c r="E114">
        <f>_xlfn.XLOOKUP(Table1[[#This Row],[DB ID]],Table2[DB ID],Table2[Input Data],"XLookUp Not Found")</f>
        <v>0</v>
      </c>
    </row>
    <row r="115" spans="1:5">
      <c r="A115">
        <v>114</v>
      </c>
      <c r="B115">
        <v>120</v>
      </c>
      <c r="C115" t="s">
        <v>287</v>
      </c>
      <c r="D115" t="s">
        <v>292</v>
      </c>
      <c r="E115">
        <f>_xlfn.XLOOKUP(Table1[[#This Row],[DB ID]],Table2[DB ID],Table2[Input Data],"XLookUp Not Found")</f>
        <v>0</v>
      </c>
    </row>
    <row r="116" spans="1:5">
      <c r="A116">
        <v>115</v>
      </c>
      <c r="B116">
        <v>123</v>
      </c>
      <c r="C116" t="s">
        <v>287</v>
      </c>
      <c r="D116" t="s">
        <v>293</v>
      </c>
      <c r="E116">
        <f>_xlfn.XLOOKUP(Table1[[#This Row],[DB ID]],Table2[DB ID],Table2[Input Data],"XLookUp Not Found")</f>
        <v>0</v>
      </c>
    </row>
    <row r="117" spans="1:5">
      <c r="A117">
        <v>116</v>
      </c>
      <c r="B117">
        <v>124</v>
      </c>
      <c r="C117" t="s">
        <v>287</v>
      </c>
      <c r="D117" t="s">
        <v>294</v>
      </c>
      <c r="E117">
        <f>_xlfn.XLOOKUP(Table1[[#This Row],[DB ID]],Table2[DB ID],Table2[Input Data],"XLookUp Not Found")</f>
        <v>0</v>
      </c>
    </row>
    <row r="118" spans="1:5">
      <c r="A118">
        <v>117</v>
      </c>
      <c r="B118">
        <v>125</v>
      </c>
      <c r="C118" t="s">
        <v>287</v>
      </c>
      <c r="D118" t="s">
        <v>295</v>
      </c>
      <c r="E118">
        <f>_xlfn.XLOOKUP(Table1[[#This Row],[DB ID]],Table2[DB ID],Table2[Input Data],"XLookUp Not Found")</f>
        <v>0</v>
      </c>
    </row>
    <row r="119" spans="1:5">
      <c r="A119">
        <v>118</v>
      </c>
      <c r="B119">
        <v>126</v>
      </c>
      <c r="C119" t="s">
        <v>287</v>
      </c>
      <c r="D119" t="s">
        <v>296</v>
      </c>
      <c r="E119">
        <f>_xlfn.XLOOKUP(Table1[[#This Row],[DB ID]],Table2[DB ID],Table2[Input Data],"XLookUp Not Found")</f>
        <v>0</v>
      </c>
    </row>
    <row r="120" spans="1:5">
      <c r="A120">
        <v>119</v>
      </c>
      <c r="B120">
        <v>127</v>
      </c>
      <c r="C120" t="s">
        <v>287</v>
      </c>
      <c r="D120" t="s">
        <v>297</v>
      </c>
      <c r="E120">
        <f>_xlfn.XLOOKUP(Table1[[#This Row],[DB ID]],Table2[DB ID],Table2[Input Data],"XLookUp Not Found")</f>
        <v>0</v>
      </c>
    </row>
    <row r="121" spans="1:5">
      <c r="A121">
        <v>120</v>
      </c>
      <c r="B121">
        <v>128</v>
      </c>
      <c r="C121" t="s">
        <v>287</v>
      </c>
      <c r="D121" t="s">
        <v>298</v>
      </c>
      <c r="E121">
        <f>_xlfn.XLOOKUP(Table1[[#This Row],[DB ID]],Table2[DB ID],Table2[Input Data],"XLookUp Not Found")</f>
        <v>0</v>
      </c>
    </row>
    <row r="122" spans="1:5">
      <c r="A122">
        <v>121</v>
      </c>
      <c r="B122">
        <v>129</v>
      </c>
      <c r="C122" t="s">
        <v>287</v>
      </c>
      <c r="D122" t="s">
        <v>299</v>
      </c>
      <c r="E122">
        <f>_xlfn.XLOOKUP(Table1[[#This Row],[DB ID]],Table2[DB ID],Table2[Input Data],"XLookUp Not Found")</f>
        <v>0</v>
      </c>
    </row>
    <row r="123" spans="1:5">
      <c r="A123">
        <v>122</v>
      </c>
      <c r="B123">
        <v>130</v>
      </c>
      <c r="C123" t="s">
        <v>287</v>
      </c>
      <c r="D123" t="s">
        <v>300</v>
      </c>
      <c r="E123">
        <f>_xlfn.XLOOKUP(Table1[[#This Row],[DB ID]],Table2[DB ID],Table2[Input Data],"XLookUp Not Found")</f>
        <v>0</v>
      </c>
    </row>
    <row r="124" spans="1:5">
      <c r="A124">
        <v>123</v>
      </c>
      <c r="B124">
        <v>131</v>
      </c>
      <c r="C124" t="s">
        <v>287</v>
      </c>
      <c r="D124" t="s">
        <v>301</v>
      </c>
      <c r="E124">
        <f>_xlfn.XLOOKUP(Table1[[#This Row],[DB ID]],Table2[DB ID],Table2[Input Data],"XLookUp Not Found")</f>
        <v>0</v>
      </c>
    </row>
    <row r="125" spans="1:5">
      <c r="A125">
        <v>124</v>
      </c>
      <c r="B125">
        <v>44</v>
      </c>
      <c r="C125" t="s">
        <v>302</v>
      </c>
      <c r="D125" t="s">
        <v>303</v>
      </c>
      <c r="E125">
        <f>_xlfn.XLOOKUP(Table1[[#This Row],[DB ID]],Table2[DB ID],Table2[Input Data],"XLookUp Not Found")</f>
        <v>0</v>
      </c>
    </row>
    <row r="126" spans="1:5">
      <c r="A126">
        <v>125</v>
      </c>
      <c r="B126">
        <v>45</v>
      </c>
      <c r="C126" t="s">
        <v>302</v>
      </c>
      <c r="D126" t="s">
        <v>304</v>
      </c>
      <c r="E126">
        <f>_xlfn.XLOOKUP(Table1[[#This Row],[DB ID]],Table2[DB ID],Table2[Input Data],"XLookUp Not Found")</f>
        <v>0</v>
      </c>
    </row>
    <row r="127" spans="1:5">
      <c r="A127">
        <v>126</v>
      </c>
      <c r="B127">
        <v>46</v>
      </c>
      <c r="C127" t="s">
        <v>302</v>
      </c>
      <c r="D127" t="s">
        <v>305</v>
      </c>
      <c r="E127">
        <f>_xlfn.XLOOKUP(Table1[[#This Row],[DB ID]],Table2[DB ID],Table2[Input Data],"XLookUp Not Found")</f>
        <v>0</v>
      </c>
    </row>
    <row r="128" spans="1:5">
      <c r="A128">
        <v>127</v>
      </c>
      <c r="B128">
        <v>47</v>
      </c>
      <c r="C128" t="s">
        <v>302</v>
      </c>
      <c r="D128" t="s">
        <v>306</v>
      </c>
      <c r="E128">
        <f>_xlfn.XLOOKUP(Table1[[#This Row],[DB ID]],Table2[DB ID],Table2[Input Data],"XLookUp Not Found")</f>
        <v>0</v>
      </c>
    </row>
    <row r="129" spans="1:5">
      <c r="A129">
        <v>128</v>
      </c>
      <c r="B129">
        <v>48</v>
      </c>
      <c r="C129" t="s">
        <v>302</v>
      </c>
      <c r="D129" t="s">
        <v>307</v>
      </c>
      <c r="E129">
        <f>_xlfn.XLOOKUP(Table1[[#This Row],[DB ID]],Table2[DB ID],Table2[Input Data],"XLookUp Not Found")</f>
        <v>0</v>
      </c>
    </row>
    <row r="130" spans="1:5">
      <c r="A130">
        <v>129</v>
      </c>
      <c r="B130">
        <v>51</v>
      </c>
      <c r="C130" t="s">
        <v>302</v>
      </c>
      <c r="D130" t="s">
        <v>308</v>
      </c>
      <c r="E130">
        <f>_xlfn.XLOOKUP(Table1[[#This Row],[DB ID]],Table2[DB ID],Table2[Input Data],"XLookUp Not Found")</f>
        <v>0</v>
      </c>
    </row>
    <row r="131" spans="1:5">
      <c r="A131">
        <v>130</v>
      </c>
      <c r="B131">
        <v>52</v>
      </c>
      <c r="C131" t="s">
        <v>302</v>
      </c>
      <c r="D131" t="s">
        <v>309</v>
      </c>
      <c r="E131">
        <f>_xlfn.XLOOKUP(Table1[[#This Row],[DB ID]],Table2[DB ID],Table2[Input Data],"XLookUp Not Found")</f>
        <v>0</v>
      </c>
    </row>
    <row r="132" spans="1:5">
      <c r="A132">
        <v>131</v>
      </c>
      <c r="B132">
        <v>53</v>
      </c>
      <c r="C132" t="s">
        <v>302</v>
      </c>
      <c r="D132" t="s">
        <v>310</v>
      </c>
      <c r="E132">
        <f>_xlfn.XLOOKUP(Table1[[#This Row],[DB ID]],Table2[DB ID],Table2[Input Data],"XLookUp Not Found")</f>
        <v>0</v>
      </c>
    </row>
    <row r="133" spans="1:5">
      <c r="A133">
        <v>132</v>
      </c>
      <c r="B133">
        <v>54</v>
      </c>
      <c r="C133" t="s">
        <v>302</v>
      </c>
      <c r="D133" t="s">
        <v>311</v>
      </c>
      <c r="E133">
        <f>_xlfn.XLOOKUP(Table1[[#This Row],[DB ID]],Table2[DB ID],Table2[Input Data],"XLookUp Not Found")</f>
        <v>0</v>
      </c>
    </row>
    <row r="134" spans="1:5">
      <c r="A134">
        <v>133</v>
      </c>
      <c r="B134">
        <v>104</v>
      </c>
      <c r="C134" t="s">
        <v>302</v>
      </c>
      <c r="D134" t="s">
        <v>312</v>
      </c>
      <c r="E134">
        <f>_xlfn.XLOOKUP(Table1[[#This Row],[DB ID]],Table2[DB ID],Table2[Input Data],"XLookUp Not Found")</f>
        <v>0</v>
      </c>
    </row>
    <row r="135" spans="1:5">
      <c r="A135">
        <v>134</v>
      </c>
      <c r="B135">
        <v>91</v>
      </c>
      <c r="C135" t="s">
        <v>313</v>
      </c>
      <c r="D135" t="s">
        <v>314</v>
      </c>
      <c r="E135">
        <f>_xlfn.XLOOKUP(Table1[[#This Row],[DB ID]],Table2[DB ID],Table2[Input Data],"XLookUp Not Found")</f>
        <v>0</v>
      </c>
    </row>
    <row r="136" spans="1:5">
      <c r="A136">
        <v>135</v>
      </c>
      <c r="B136">
        <v>133</v>
      </c>
      <c r="C136" t="s">
        <v>313</v>
      </c>
      <c r="D136" t="s">
        <v>315</v>
      </c>
      <c r="E136">
        <f>_xlfn.XLOOKUP(Table1[[#This Row],[DB ID]],Table2[DB ID],Table2[Input Data],"XLookUp Not Found")</f>
        <v>0</v>
      </c>
    </row>
    <row r="137" spans="1:5">
      <c r="A137">
        <v>136</v>
      </c>
      <c r="B137">
        <v>134</v>
      </c>
      <c r="C137" t="s">
        <v>313</v>
      </c>
      <c r="D137" t="s">
        <v>316</v>
      </c>
      <c r="E137">
        <f>_xlfn.XLOOKUP(Table1[[#This Row],[DB ID]],Table2[DB ID],Table2[Input Data],"XLookUp Not Found")</f>
        <v>0</v>
      </c>
    </row>
    <row r="138" spans="1:5">
      <c r="A138">
        <v>137</v>
      </c>
      <c r="B138">
        <v>135</v>
      </c>
      <c r="C138" t="s">
        <v>313</v>
      </c>
      <c r="D138" t="s">
        <v>317</v>
      </c>
      <c r="E138">
        <f>_xlfn.XLOOKUP(Table1[[#This Row],[DB ID]],Table2[DB ID],Table2[Input Data],"XLookUp Not Found")</f>
        <v>0</v>
      </c>
    </row>
    <row r="139" spans="1:5">
      <c r="A139">
        <v>138</v>
      </c>
      <c r="B139">
        <v>136</v>
      </c>
      <c r="C139" t="s">
        <v>313</v>
      </c>
      <c r="D139" t="s">
        <v>318</v>
      </c>
      <c r="E139">
        <f>_xlfn.XLOOKUP(Table1[[#This Row],[DB ID]],Table2[DB ID],Table2[Input Data],"XLookUp Not Found")</f>
        <v>0</v>
      </c>
    </row>
    <row r="140" spans="1:5">
      <c r="A140">
        <v>139</v>
      </c>
      <c r="B140">
        <v>137</v>
      </c>
      <c r="C140" t="s">
        <v>313</v>
      </c>
      <c r="D140" t="s">
        <v>319</v>
      </c>
      <c r="E140">
        <f>_xlfn.XLOOKUP(Table1[[#This Row],[DB ID]],Table2[DB ID],Table2[Input Data],"XLookUp Not Found")</f>
        <v>0</v>
      </c>
    </row>
    <row r="141" spans="1:5">
      <c r="A141">
        <v>140</v>
      </c>
      <c r="B141">
        <v>138</v>
      </c>
      <c r="C141" t="s">
        <v>313</v>
      </c>
      <c r="D141" t="s">
        <v>320</v>
      </c>
      <c r="E141">
        <f>_xlfn.XLOOKUP(Table1[[#This Row],[DB ID]],Table2[DB ID],Table2[Input Data],"XLookUp Not Found")</f>
        <v>0</v>
      </c>
    </row>
    <row r="142" spans="1:5">
      <c r="A142">
        <v>141</v>
      </c>
      <c r="B142">
        <v>139</v>
      </c>
      <c r="C142" t="s">
        <v>313</v>
      </c>
      <c r="D142" t="s">
        <v>321</v>
      </c>
      <c r="E142">
        <f>_xlfn.XLOOKUP(Table1[[#This Row],[DB ID]],Table2[DB ID],Table2[Input Data],"XLookUp Not Found")</f>
        <v>0</v>
      </c>
    </row>
    <row r="143" spans="1:5">
      <c r="A143">
        <v>142</v>
      </c>
      <c r="B143">
        <v>140</v>
      </c>
      <c r="C143" t="s">
        <v>313</v>
      </c>
      <c r="D143" t="s">
        <v>322</v>
      </c>
      <c r="E143">
        <f>_xlfn.XLOOKUP(Table1[[#This Row],[DB ID]],Table2[DB ID],Table2[Input Data],"XLookUp Not Found")</f>
        <v>0</v>
      </c>
    </row>
    <row r="144" spans="1:5">
      <c r="A144">
        <v>143</v>
      </c>
      <c r="B144">
        <v>141</v>
      </c>
      <c r="C144" t="s">
        <v>313</v>
      </c>
      <c r="D144" t="s">
        <v>323</v>
      </c>
      <c r="E144">
        <f>_xlfn.XLOOKUP(Table1[[#This Row],[DB ID]],Table2[DB ID],Table2[Input Data],"XLookUp Not Found")</f>
        <v>0</v>
      </c>
    </row>
    <row r="145" spans="1:5">
      <c r="A145">
        <v>144</v>
      </c>
      <c r="B145">
        <v>142</v>
      </c>
      <c r="C145" t="s">
        <v>313</v>
      </c>
      <c r="D145" t="s">
        <v>324</v>
      </c>
      <c r="E145">
        <f>_xlfn.XLOOKUP(Table1[[#This Row],[DB ID]],Table2[DB ID],Table2[Input Data],"XLookUp Not Found")</f>
        <v>0</v>
      </c>
    </row>
    <row r="146" spans="1:5">
      <c r="A146">
        <v>145</v>
      </c>
      <c r="B146">
        <v>143</v>
      </c>
      <c r="C146" t="s">
        <v>313</v>
      </c>
      <c r="D146" t="s">
        <v>325</v>
      </c>
      <c r="E146">
        <f>_xlfn.XLOOKUP(Table1[[#This Row],[DB ID]],Table2[DB ID],Table2[Input Data],"XLookUp Not Found")</f>
        <v>0</v>
      </c>
    </row>
    <row r="147" spans="1:5">
      <c r="A147">
        <v>146</v>
      </c>
      <c r="B147">
        <v>144</v>
      </c>
      <c r="C147" t="s">
        <v>313</v>
      </c>
      <c r="D147" t="s">
        <v>326</v>
      </c>
      <c r="E147">
        <f>_xlfn.XLOOKUP(Table1[[#This Row],[DB ID]],Table2[DB ID],Table2[Input Data],"XLookUp Not Found")</f>
        <v>0</v>
      </c>
    </row>
    <row r="148" spans="1:5">
      <c r="A148">
        <v>147</v>
      </c>
      <c r="B148">
        <v>145</v>
      </c>
      <c r="C148" t="s">
        <v>313</v>
      </c>
      <c r="D148" t="s">
        <v>327</v>
      </c>
      <c r="E148">
        <f>_xlfn.XLOOKUP(Table1[[#This Row],[DB ID]],Table2[DB ID],Table2[Input Data],"XLookUp Not Found")</f>
        <v>0</v>
      </c>
    </row>
    <row r="149" spans="1:5">
      <c r="A149">
        <v>148</v>
      </c>
      <c r="B149">
        <v>146</v>
      </c>
      <c r="C149" t="s">
        <v>313</v>
      </c>
      <c r="D149" t="s">
        <v>328</v>
      </c>
      <c r="E149">
        <f>_xlfn.XLOOKUP(Table1[[#This Row],[DB ID]],Table2[DB ID],Table2[Input Data],"XLookUp Not Found")</f>
        <v>0</v>
      </c>
    </row>
    <row r="150" spans="1:5">
      <c r="A150">
        <v>149</v>
      </c>
      <c r="B150">
        <v>147</v>
      </c>
      <c r="C150" t="s">
        <v>313</v>
      </c>
      <c r="D150" t="s">
        <v>329</v>
      </c>
      <c r="E150">
        <f>_xlfn.XLOOKUP(Table1[[#This Row],[DB ID]],Table2[DB ID],Table2[Input Data],"XLookUp Not Found")</f>
        <v>0</v>
      </c>
    </row>
    <row r="151" spans="1:5">
      <c r="A151">
        <v>150</v>
      </c>
      <c r="B151">
        <v>148</v>
      </c>
      <c r="C151" t="s">
        <v>313</v>
      </c>
      <c r="D151" t="s">
        <v>330</v>
      </c>
      <c r="E151">
        <f>_xlfn.XLOOKUP(Table1[[#This Row],[DB ID]],Table2[DB ID],Table2[Input Data],"XLookUp Not Found")</f>
        <v>0</v>
      </c>
    </row>
    <row r="152" spans="1:5">
      <c r="A152">
        <v>151</v>
      </c>
      <c r="B152">
        <v>156</v>
      </c>
      <c r="C152" t="s">
        <v>313</v>
      </c>
      <c r="D152" t="s">
        <v>331</v>
      </c>
      <c r="E152">
        <f>_xlfn.XLOOKUP(Table1[[#This Row],[DB ID]],Table2[DB ID],Table2[Input Data],"XLookUp Not Found")</f>
        <v>0</v>
      </c>
    </row>
    <row r="153" spans="1:5">
      <c r="A153">
        <v>152</v>
      </c>
      <c r="B153">
        <v>157</v>
      </c>
      <c r="C153" t="s">
        <v>313</v>
      </c>
      <c r="D153" t="s">
        <v>332</v>
      </c>
      <c r="E153">
        <f>_xlfn.XLOOKUP(Table1[[#This Row],[DB ID]],Table2[DB ID],Table2[Input Data],"XLookUp Not Found")</f>
        <v>0</v>
      </c>
    </row>
    <row r="154" spans="1:5">
      <c r="A154">
        <v>153</v>
      </c>
      <c r="B154">
        <v>158</v>
      </c>
      <c r="C154" t="s">
        <v>313</v>
      </c>
      <c r="D154" t="s">
        <v>333</v>
      </c>
      <c r="E154">
        <f>_xlfn.XLOOKUP(Table1[[#This Row],[DB ID]],Table2[DB ID],Table2[Input Data],"XLookUp Not Found")</f>
        <v>0</v>
      </c>
    </row>
    <row r="155" spans="1:5">
      <c r="A155">
        <v>154</v>
      </c>
      <c r="B155">
        <v>159</v>
      </c>
      <c r="C155" t="s">
        <v>313</v>
      </c>
      <c r="D155" t="s">
        <v>334</v>
      </c>
      <c r="E155">
        <f>_xlfn.XLOOKUP(Table1[[#This Row],[DB ID]],Table2[DB ID],Table2[Input Data],"XLookUp Not Found")</f>
        <v>0</v>
      </c>
    </row>
    <row r="156" spans="1:5">
      <c r="A156">
        <v>155</v>
      </c>
      <c r="B156">
        <v>160</v>
      </c>
      <c r="C156" t="s">
        <v>313</v>
      </c>
      <c r="D156" t="s">
        <v>335</v>
      </c>
      <c r="E156">
        <f>_xlfn.XLOOKUP(Table1[[#This Row],[DB ID]],Table2[DB ID],Table2[Input Data],"XLookUp Not Found")</f>
        <v>0</v>
      </c>
    </row>
    <row r="157" spans="1:5">
      <c r="A157">
        <v>156</v>
      </c>
      <c r="B157">
        <v>29</v>
      </c>
      <c r="C157" t="s">
        <v>336</v>
      </c>
      <c r="D157" t="s">
        <v>337</v>
      </c>
      <c r="E157">
        <f>_xlfn.XLOOKUP(Table1[[#This Row],[DB ID]],Table2[DB ID],Table2[Input Data],"XLookUp Not Found")</f>
        <v>0</v>
      </c>
    </row>
    <row r="158" spans="1:5">
      <c r="A158">
        <v>157</v>
      </c>
      <c r="B158">
        <v>81</v>
      </c>
      <c r="C158" t="s">
        <v>336</v>
      </c>
      <c r="D158" t="s">
        <v>338</v>
      </c>
      <c r="E158">
        <f>_xlfn.XLOOKUP(Table1[[#This Row],[DB ID]],Table2[DB ID],Table2[Input Data],"XLookUp Not Found")</f>
        <v>0</v>
      </c>
    </row>
    <row r="159" spans="1:5">
      <c r="A159">
        <v>158</v>
      </c>
      <c r="B159">
        <v>82</v>
      </c>
      <c r="C159" t="s">
        <v>336</v>
      </c>
      <c r="D159" t="s">
        <v>339</v>
      </c>
      <c r="E159">
        <f>_xlfn.XLOOKUP(Table1[[#This Row],[DB ID]],Table2[DB ID],Table2[Input Data],"XLookUp Not Found")</f>
        <v>0</v>
      </c>
    </row>
    <row r="160" spans="1:5">
      <c r="A160">
        <v>159</v>
      </c>
      <c r="B160">
        <v>83</v>
      </c>
      <c r="C160" t="s">
        <v>336</v>
      </c>
      <c r="D160" t="s">
        <v>340</v>
      </c>
      <c r="E160">
        <f>_xlfn.XLOOKUP(Table1[[#This Row],[DB ID]],Table2[DB ID],Table2[Input Data],"XLookUp Not Found")</f>
        <v>0</v>
      </c>
    </row>
    <row r="161" spans="1:5">
      <c r="A161">
        <v>160</v>
      </c>
      <c r="B161">
        <v>84</v>
      </c>
      <c r="C161" t="s">
        <v>336</v>
      </c>
      <c r="D161" t="s">
        <v>341</v>
      </c>
      <c r="E161">
        <f>_xlfn.XLOOKUP(Table1[[#This Row],[DB ID]],Table2[DB ID],Table2[Input Data],"XLookUp Not Found")</f>
        <v>0</v>
      </c>
    </row>
    <row r="162" spans="1:5">
      <c r="A162">
        <v>161</v>
      </c>
      <c r="B162">
        <v>85</v>
      </c>
      <c r="C162" t="s">
        <v>336</v>
      </c>
      <c r="D162" t="s">
        <v>342</v>
      </c>
      <c r="E162">
        <f>_xlfn.XLOOKUP(Table1[[#This Row],[DB ID]],Table2[DB ID],Table2[Input Data],"XLookUp Not Found")</f>
        <v>0</v>
      </c>
    </row>
    <row r="163" spans="1:5">
      <c r="A163">
        <v>162</v>
      </c>
      <c r="B163">
        <v>92</v>
      </c>
      <c r="C163" t="s">
        <v>336</v>
      </c>
      <c r="D163" t="s">
        <v>343</v>
      </c>
      <c r="E163">
        <f>_xlfn.XLOOKUP(Table1[[#This Row],[DB ID]],Table2[DB ID],Table2[Input Data],"XLookUp Not Found")</f>
        <v>0</v>
      </c>
    </row>
    <row r="164" spans="1:5">
      <c r="A164">
        <v>163</v>
      </c>
      <c r="B164">
        <v>107</v>
      </c>
      <c r="C164" t="s">
        <v>336</v>
      </c>
      <c r="D164" t="s">
        <v>344</v>
      </c>
      <c r="E164">
        <f>_xlfn.XLOOKUP(Table1[[#This Row],[DB ID]],Table2[DB ID],Table2[Input Data],"XLookUp Not Found")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FE1D-B0C4-4373-8CCD-C0082DCA7B19}">
  <dimension ref="B2:GA5"/>
  <sheetViews>
    <sheetView workbookViewId="0">
      <selection activeCell="E5" sqref="E5"/>
    </sheetView>
  </sheetViews>
  <sheetFormatPr defaultRowHeight="15"/>
  <cols>
    <col min="2" max="2" width="14.140625" bestFit="1" customWidth="1"/>
    <col min="3" max="3" width="10.5703125" bestFit="1" customWidth="1"/>
    <col min="4" max="4" width="13.85546875" bestFit="1" customWidth="1"/>
    <col min="5" max="5" width="10.5703125" bestFit="1" customWidth="1"/>
    <col min="6" max="6" width="11.140625" bestFit="1" customWidth="1"/>
    <col min="7" max="7" width="20.42578125" bestFit="1" customWidth="1"/>
    <col min="8" max="8" width="15.7109375" bestFit="1" customWidth="1"/>
    <col min="9" max="9" width="21.140625" bestFit="1" customWidth="1"/>
    <col min="10" max="10" width="23.5703125" bestFit="1" customWidth="1"/>
    <col min="11" max="11" width="21.42578125" bestFit="1" customWidth="1"/>
    <col min="12" max="12" width="14.42578125" bestFit="1" customWidth="1"/>
    <col min="13" max="13" width="17.85546875" bestFit="1" customWidth="1"/>
    <col min="14" max="14" width="16.7109375" bestFit="1" customWidth="1"/>
    <col min="15" max="15" width="18.85546875" bestFit="1" customWidth="1"/>
    <col min="16" max="16" width="20.7109375" bestFit="1" customWidth="1"/>
    <col min="17" max="17" width="14" bestFit="1" customWidth="1"/>
    <col min="18" max="18" width="17.85546875" bestFit="1" customWidth="1"/>
    <col min="19" max="19" width="14.7109375" bestFit="1" customWidth="1"/>
    <col min="20" max="20" width="13.7109375" bestFit="1" customWidth="1"/>
    <col min="21" max="21" width="13.85546875" bestFit="1" customWidth="1"/>
    <col min="22" max="22" width="16.42578125" bestFit="1" customWidth="1"/>
    <col min="23" max="23" width="15" bestFit="1" customWidth="1"/>
    <col min="24" max="24" width="15.7109375" bestFit="1" customWidth="1"/>
    <col min="25" max="25" width="24.28515625" bestFit="1" customWidth="1"/>
    <col min="26" max="26" width="25" bestFit="1" customWidth="1"/>
    <col min="27" max="27" width="19" bestFit="1" customWidth="1"/>
    <col min="28" max="28" width="14.28515625" bestFit="1" customWidth="1"/>
    <col min="29" max="29" width="13.42578125" bestFit="1" customWidth="1"/>
    <col min="30" max="30" width="29.140625" bestFit="1" customWidth="1"/>
    <col min="31" max="31" width="19.140625" bestFit="1" customWidth="1"/>
    <col min="32" max="32" width="14.28515625" bestFit="1" customWidth="1"/>
    <col min="33" max="33" width="18.42578125" bestFit="1" customWidth="1"/>
    <col min="34" max="34" width="18.28515625" bestFit="1" customWidth="1"/>
    <col min="35" max="35" width="21.7109375" bestFit="1" customWidth="1"/>
    <col min="36" max="36" width="24.28515625" bestFit="1" customWidth="1"/>
    <col min="37" max="38" width="21" customWidth="1"/>
    <col min="39" max="48" width="25.140625" bestFit="1" customWidth="1"/>
    <col min="49" max="50" width="25.140625" customWidth="1"/>
    <col min="51" max="51" width="24.42578125" bestFit="1" customWidth="1"/>
    <col min="52" max="52" width="17.85546875" bestFit="1" customWidth="1"/>
    <col min="53" max="53" width="22.5703125" bestFit="1" customWidth="1"/>
    <col min="54" max="54" width="17.85546875" bestFit="1" customWidth="1"/>
    <col min="55" max="55" width="24.5703125" bestFit="1" customWidth="1"/>
    <col min="56" max="56" width="23.42578125" bestFit="1" customWidth="1"/>
    <col min="57" max="57" width="25.42578125" bestFit="1" customWidth="1"/>
    <col min="58" max="58" width="19.7109375" bestFit="1" customWidth="1"/>
    <col min="59" max="59" width="23.5703125" bestFit="1" customWidth="1"/>
    <col min="60" max="60" width="18.28515625" bestFit="1" customWidth="1"/>
    <col min="61" max="61" width="27" bestFit="1" customWidth="1"/>
    <col min="62" max="62" width="17.85546875" bestFit="1" customWidth="1"/>
    <col min="63" max="63" width="30" bestFit="1" customWidth="1"/>
    <col min="64" max="64" width="22" bestFit="1" customWidth="1"/>
    <col min="65" max="65" width="22.42578125" bestFit="1" customWidth="1"/>
    <col min="66" max="66" width="20" bestFit="1" customWidth="1"/>
    <col min="67" max="67" width="20.42578125" bestFit="1" customWidth="1"/>
    <col min="68" max="68" width="23.140625" bestFit="1" customWidth="1"/>
    <col min="69" max="69" width="17.85546875" bestFit="1" customWidth="1"/>
    <col min="70" max="70" width="23.85546875" bestFit="1" customWidth="1"/>
    <col min="71" max="71" width="21.85546875" bestFit="1" customWidth="1"/>
    <col min="72" max="72" width="18.5703125" bestFit="1" customWidth="1"/>
    <col min="73" max="75" width="17.85546875" bestFit="1" customWidth="1"/>
    <col min="76" max="77" width="17.85546875" customWidth="1"/>
    <col min="78" max="79" width="22.7109375" bestFit="1" customWidth="1"/>
    <col min="80" max="80" width="22.85546875" bestFit="1" customWidth="1"/>
    <col min="81" max="82" width="22.7109375" bestFit="1" customWidth="1"/>
    <col min="83" max="83" width="25.5703125" bestFit="1" customWidth="1"/>
    <col min="84" max="85" width="22.7109375" bestFit="1" customWidth="1"/>
    <col min="86" max="87" width="22.7109375" customWidth="1"/>
    <col min="88" max="88" width="16.42578125" bestFit="1" customWidth="1"/>
    <col min="89" max="89" width="20.85546875" bestFit="1" customWidth="1"/>
    <col min="90" max="90" width="22.42578125" bestFit="1" customWidth="1"/>
    <col min="91" max="91" width="18.85546875" bestFit="1" customWidth="1"/>
    <col min="92" max="92" width="24.5703125" bestFit="1" customWidth="1"/>
    <col min="93" max="93" width="18.28515625" bestFit="1" customWidth="1"/>
    <col min="94" max="94" width="22.28515625" bestFit="1" customWidth="1"/>
    <col min="95" max="95" width="19.140625" bestFit="1" customWidth="1"/>
    <col min="96" max="96" width="26.28515625" bestFit="1" customWidth="1"/>
    <col min="97" max="97" width="19.42578125" bestFit="1" customWidth="1"/>
    <col min="98" max="99" width="16.140625" bestFit="1" customWidth="1"/>
    <col min="100" max="100" width="17" bestFit="1" customWidth="1"/>
    <col min="101" max="101" width="19.28515625" bestFit="1" customWidth="1"/>
    <col min="102" max="102" width="17" bestFit="1" customWidth="1"/>
    <col min="103" max="104" width="16.140625" customWidth="1"/>
    <col min="105" max="109" width="18.5703125" bestFit="1" customWidth="1"/>
    <col min="110" max="110" width="20.42578125" bestFit="1" customWidth="1"/>
    <col min="111" max="111" width="18.5703125" bestFit="1" customWidth="1"/>
    <col min="112" max="112" width="24.28515625" bestFit="1" customWidth="1"/>
    <col min="113" max="113" width="21.28515625" bestFit="1" customWidth="1"/>
    <col min="114" max="114" width="28" bestFit="1" customWidth="1"/>
    <col min="115" max="115" width="25.85546875" bestFit="1" customWidth="1"/>
    <col min="116" max="117" width="18.5703125" bestFit="1" customWidth="1"/>
    <col min="118" max="118" width="21.5703125" bestFit="1" customWidth="1"/>
    <col min="119" max="121" width="18.5703125" bestFit="1" customWidth="1"/>
    <col min="122" max="123" width="18.5703125" customWidth="1"/>
    <col min="124" max="124" width="23.28515625" bestFit="1" customWidth="1"/>
    <col min="125" max="125" width="17.140625" bestFit="1" customWidth="1"/>
    <col min="126" max="126" width="24.140625" bestFit="1" customWidth="1"/>
    <col min="127" max="128" width="17.140625" bestFit="1" customWidth="1"/>
    <col min="129" max="129" width="20.42578125" bestFit="1" customWidth="1"/>
    <col min="130" max="130" width="25.7109375" bestFit="1" customWidth="1"/>
    <col min="131" max="131" width="17.140625" bestFit="1" customWidth="1"/>
    <col min="132" max="132" width="24.140625" bestFit="1" customWidth="1"/>
    <col min="133" max="133" width="18.42578125" bestFit="1" customWidth="1"/>
    <col min="134" max="135" width="17.140625" bestFit="1" customWidth="1"/>
    <col min="136" max="136" width="22.28515625" bestFit="1" customWidth="1"/>
    <col min="137" max="137" width="26.85546875" bestFit="1" customWidth="1"/>
    <col min="138" max="139" width="23.7109375" customWidth="1"/>
    <col min="140" max="140" width="16" bestFit="1" customWidth="1"/>
    <col min="141" max="141" width="18.140625" bestFit="1" customWidth="1"/>
    <col min="142" max="142" width="16" bestFit="1" customWidth="1"/>
    <col min="143" max="143" width="23" bestFit="1" customWidth="1"/>
    <col min="144" max="144" width="25" bestFit="1" customWidth="1"/>
    <col min="145" max="145" width="23.42578125" bestFit="1" customWidth="1"/>
    <col min="146" max="146" width="22" bestFit="1" customWidth="1"/>
    <col min="147" max="147" width="23.42578125" bestFit="1" customWidth="1"/>
    <col min="148" max="148" width="24.140625" bestFit="1" customWidth="1"/>
    <col min="149" max="149" width="18" bestFit="1" customWidth="1"/>
    <col min="150" max="151" width="16" customWidth="1"/>
    <col min="152" max="155" width="22" bestFit="1" customWidth="1"/>
    <col min="156" max="156" width="24.7109375" bestFit="1" customWidth="1"/>
    <col min="157" max="162" width="22" bestFit="1" customWidth="1"/>
    <col min="163" max="163" width="28.85546875" bestFit="1" customWidth="1"/>
    <col min="164" max="164" width="22" bestFit="1" customWidth="1"/>
    <col min="165" max="165" width="27.7109375" bestFit="1" customWidth="1"/>
    <col min="166" max="173" width="22" bestFit="1" customWidth="1"/>
    <col min="174" max="175" width="22" customWidth="1"/>
    <col min="176" max="176" width="21.85546875" bestFit="1" customWidth="1"/>
    <col min="177" max="177" width="22.28515625" bestFit="1" customWidth="1"/>
    <col min="178" max="178" width="21.42578125" bestFit="1" customWidth="1"/>
    <col min="179" max="179" width="22.42578125" bestFit="1" customWidth="1"/>
    <col min="180" max="180" width="21.28515625" bestFit="1" customWidth="1"/>
    <col min="181" max="181" width="23.5703125" bestFit="1" customWidth="1"/>
    <col min="182" max="182" width="24.7109375" bestFit="1" customWidth="1"/>
    <col min="183" max="183" width="22.42578125" bestFit="1" customWidth="1"/>
  </cols>
  <sheetData>
    <row r="2" spans="2:183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Y2">
        <v>45</v>
      </c>
      <c r="AZ2">
        <v>46</v>
      </c>
      <c r="BA2">
        <v>47</v>
      </c>
      <c r="BB2">
        <v>48</v>
      </c>
      <c r="BC2">
        <v>49</v>
      </c>
      <c r="BD2">
        <v>50</v>
      </c>
      <c r="BE2">
        <v>51</v>
      </c>
      <c r="BF2">
        <v>52</v>
      </c>
      <c r="BG2">
        <v>53</v>
      </c>
      <c r="BH2">
        <v>54</v>
      </c>
      <c r="BI2">
        <v>55</v>
      </c>
      <c r="BJ2">
        <v>56</v>
      </c>
      <c r="BK2">
        <v>57</v>
      </c>
      <c r="BL2">
        <v>58</v>
      </c>
      <c r="BM2">
        <v>59</v>
      </c>
      <c r="BN2">
        <v>60</v>
      </c>
      <c r="BO2">
        <v>61</v>
      </c>
      <c r="BP2">
        <v>62</v>
      </c>
      <c r="BQ2">
        <v>63</v>
      </c>
      <c r="BR2">
        <v>64</v>
      </c>
      <c r="BS2">
        <v>65</v>
      </c>
      <c r="BT2">
        <v>66</v>
      </c>
      <c r="BU2">
        <v>67</v>
      </c>
      <c r="BV2">
        <v>68</v>
      </c>
      <c r="BW2">
        <v>69</v>
      </c>
      <c r="BZ2">
        <v>70</v>
      </c>
      <c r="CA2">
        <v>71</v>
      </c>
      <c r="CB2">
        <v>72</v>
      </c>
      <c r="CC2">
        <v>73</v>
      </c>
      <c r="CD2">
        <v>74</v>
      </c>
      <c r="CE2">
        <v>75</v>
      </c>
      <c r="CF2">
        <v>76</v>
      </c>
      <c r="CG2">
        <v>77</v>
      </c>
      <c r="CJ2">
        <v>78</v>
      </c>
      <c r="CK2">
        <v>79</v>
      </c>
      <c r="CL2">
        <v>80</v>
      </c>
      <c r="CM2">
        <v>81</v>
      </c>
      <c r="CN2">
        <v>82</v>
      </c>
      <c r="CO2">
        <v>83</v>
      </c>
      <c r="CP2">
        <v>84</v>
      </c>
      <c r="CQ2">
        <v>85</v>
      </c>
      <c r="CR2">
        <v>86</v>
      </c>
      <c r="CS2">
        <v>87</v>
      </c>
      <c r="CT2">
        <v>88</v>
      </c>
      <c r="CU2">
        <v>89</v>
      </c>
      <c r="CV2">
        <v>90</v>
      </c>
      <c r="CW2">
        <v>91</v>
      </c>
      <c r="CX2">
        <v>92</v>
      </c>
      <c r="DA2">
        <v>93</v>
      </c>
      <c r="DB2">
        <v>94</v>
      </c>
      <c r="DC2">
        <v>95</v>
      </c>
      <c r="DD2">
        <v>96</v>
      </c>
      <c r="DE2">
        <v>97</v>
      </c>
      <c r="DF2">
        <v>98</v>
      </c>
      <c r="DG2">
        <v>99</v>
      </c>
      <c r="DH2">
        <v>100</v>
      </c>
      <c r="DI2">
        <v>101</v>
      </c>
      <c r="DJ2">
        <v>102</v>
      </c>
      <c r="DK2">
        <v>103</v>
      </c>
      <c r="DL2">
        <v>104</v>
      </c>
      <c r="DM2">
        <v>105</v>
      </c>
      <c r="DN2">
        <v>106</v>
      </c>
      <c r="DO2">
        <v>107</v>
      </c>
      <c r="DP2">
        <v>108</v>
      </c>
      <c r="DQ2">
        <v>109</v>
      </c>
      <c r="DT2">
        <v>110</v>
      </c>
      <c r="DU2">
        <v>111</v>
      </c>
      <c r="DV2">
        <v>112</v>
      </c>
      <c r="DW2">
        <v>113</v>
      </c>
      <c r="DX2">
        <v>114</v>
      </c>
      <c r="DY2">
        <v>115</v>
      </c>
      <c r="DZ2">
        <v>116</v>
      </c>
      <c r="EA2">
        <v>117</v>
      </c>
      <c r="EB2">
        <v>118</v>
      </c>
      <c r="EC2">
        <v>119</v>
      </c>
      <c r="ED2">
        <v>120</v>
      </c>
      <c r="EE2">
        <v>121</v>
      </c>
      <c r="EF2">
        <v>122</v>
      </c>
      <c r="EG2">
        <v>123</v>
      </c>
      <c r="EJ2">
        <v>124</v>
      </c>
      <c r="EK2">
        <v>125</v>
      </c>
      <c r="EL2">
        <v>126</v>
      </c>
      <c r="EM2">
        <v>127</v>
      </c>
      <c r="EN2">
        <v>128</v>
      </c>
      <c r="EO2">
        <v>129</v>
      </c>
      <c r="EP2">
        <v>130</v>
      </c>
      <c r="EQ2">
        <v>131</v>
      </c>
      <c r="ER2">
        <v>132</v>
      </c>
      <c r="ES2">
        <v>133</v>
      </c>
      <c r="EV2">
        <v>134</v>
      </c>
      <c r="EW2">
        <v>135</v>
      </c>
      <c r="EX2">
        <v>136</v>
      </c>
      <c r="EY2">
        <v>137</v>
      </c>
      <c r="EZ2">
        <v>138</v>
      </c>
      <c r="FA2">
        <v>139</v>
      </c>
      <c r="FB2">
        <v>140</v>
      </c>
      <c r="FC2">
        <v>141</v>
      </c>
      <c r="FD2">
        <v>142</v>
      </c>
      <c r="FE2">
        <v>143</v>
      </c>
      <c r="FF2">
        <v>144</v>
      </c>
      <c r="FG2">
        <v>145</v>
      </c>
      <c r="FH2">
        <v>146</v>
      </c>
      <c r="FI2">
        <v>147</v>
      </c>
      <c r="FJ2">
        <v>148</v>
      </c>
      <c r="FK2">
        <v>149</v>
      </c>
      <c r="FL2">
        <v>150</v>
      </c>
      <c r="FM2">
        <v>151</v>
      </c>
      <c r="FN2">
        <v>152</v>
      </c>
      <c r="FO2">
        <v>153</v>
      </c>
      <c r="FP2">
        <v>154</v>
      </c>
      <c r="FQ2">
        <v>155</v>
      </c>
      <c r="FT2">
        <v>156</v>
      </c>
      <c r="FU2">
        <v>157</v>
      </c>
      <c r="FV2">
        <v>158</v>
      </c>
      <c r="FW2">
        <v>159</v>
      </c>
      <c r="FX2">
        <v>160</v>
      </c>
      <c r="FY2">
        <v>161</v>
      </c>
      <c r="FZ2">
        <v>162</v>
      </c>
      <c r="GA2">
        <v>163</v>
      </c>
    </row>
    <row r="3" spans="2:183">
      <c r="B3" t="s">
        <v>172</v>
      </c>
      <c r="C3" t="s">
        <v>172</v>
      </c>
      <c r="D3" t="s">
        <v>172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  <c r="T3" t="s">
        <v>172</v>
      </c>
      <c r="U3" t="s">
        <v>172</v>
      </c>
      <c r="V3" t="s">
        <v>172</v>
      </c>
      <c r="W3" t="s">
        <v>172</v>
      </c>
      <c r="X3" t="s">
        <v>172</v>
      </c>
      <c r="Y3" t="s">
        <v>172</v>
      </c>
      <c r="Z3" t="s">
        <v>172</v>
      </c>
      <c r="AA3" t="s">
        <v>172</v>
      </c>
      <c r="AB3" t="s">
        <v>172</v>
      </c>
      <c r="AC3" t="s">
        <v>172</v>
      </c>
      <c r="AD3" t="s">
        <v>172</v>
      </c>
      <c r="AE3" t="s">
        <v>172</v>
      </c>
      <c r="AF3" t="s">
        <v>172</v>
      </c>
      <c r="AG3" t="s">
        <v>172</v>
      </c>
      <c r="AH3" t="s">
        <v>172</v>
      </c>
      <c r="AI3" t="s">
        <v>172</v>
      </c>
      <c r="AJ3" t="s">
        <v>172</v>
      </c>
      <c r="AL3" t="s">
        <v>207</v>
      </c>
      <c r="AM3" t="s">
        <v>207</v>
      </c>
      <c r="AN3" t="s">
        <v>207</v>
      </c>
      <c r="AO3" t="s">
        <v>207</v>
      </c>
      <c r="AP3" t="s">
        <v>207</v>
      </c>
      <c r="AQ3" t="s">
        <v>207</v>
      </c>
      <c r="AR3" t="s">
        <v>207</v>
      </c>
      <c r="AS3" t="s">
        <v>207</v>
      </c>
      <c r="AT3" t="s">
        <v>207</v>
      </c>
      <c r="AU3" t="s">
        <v>207</v>
      </c>
      <c r="AV3" t="s">
        <v>207</v>
      </c>
      <c r="AX3" t="s">
        <v>218</v>
      </c>
      <c r="AY3" t="s">
        <v>218</v>
      </c>
      <c r="AZ3" t="s">
        <v>218</v>
      </c>
      <c r="BA3" t="s">
        <v>218</v>
      </c>
      <c r="BB3" t="s">
        <v>218</v>
      </c>
      <c r="BC3" t="s">
        <v>218</v>
      </c>
      <c r="BD3" t="s">
        <v>218</v>
      </c>
      <c r="BE3" t="s">
        <v>218</v>
      </c>
      <c r="BF3" t="s">
        <v>218</v>
      </c>
      <c r="BG3" t="s">
        <v>218</v>
      </c>
      <c r="BH3" t="s">
        <v>218</v>
      </c>
      <c r="BI3" t="s">
        <v>218</v>
      </c>
      <c r="BJ3" t="s">
        <v>218</v>
      </c>
      <c r="BK3" t="s">
        <v>218</v>
      </c>
      <c r="BL3" t="s">
        <v>218</v>
      </c>
      <c r="BM3" t="s">
        <v>218</v>
      </c>
      <c r="BN3" t="s">
        <v>218</v>
      </c>
      <c r="BO3" t="s">
        <v>218</v>
      </c>
      <c r="BP3" t="s">
        <v>218</v>
      </c>
      <c r="BQ3" t="s">
        <v>218</v>
      </c>
      <c r="BR3" t="s">
        <v>218</v>
      </c>
      <c r="BS3" t="s">
        <v>218</v>
      </c>
      <c r="BT3" t="s">
        <v>218</v>
      </c>
      <c r="BU3" t="s">
        <v>218</v>
      </c>
      <c r="BV3" t="s">
        <v>218</v>
      </c>
      <c r="BW3" t="s">
        <v>218</v>
      </c>
      <c r="BY3" t="s">
        <v>244</v>
      </c>
      <c r="BZ3" t="s">
        <v>244</v>
      </c>
      <c r="CA3" t="s">
        <v>244</v>
      </c>
      <c r="CB3" t="s">
        <v>244</v>
      </c>
      <c r="CC3" t="s">
        <v>244</v>
      </c>
      <c r="CD3" t="s">
        <v>244</v>
      </c>
      <c r="CE3" t="s">
        <v>244</v>
      </c>
      <c r="CF3" t="s">
        <v>244</v>
      </c>
      <c r="CG3" t="s">
        <v>244</v>
      </c>
      <c r="CI3" t="s">
        <v>253</v>
      </c>
      <c r="CJ3" t="s">
        <v>253</v>
      </c>
      <c r="CK3" t="s">
        <v>253</v>
      </c>
      <c r="CL3" t="s">
        <v>253</v>
      </c>
      <c r="CM3" t="s">
        <v>253</v>
      </c>
      <c r="CN3" t="s">
        <v>253</v>
      </c>
      <c r="CO3" t="s">
        <v>253</v>
      </c>
      <c r="CP3" t="s">
        <v>253</v>
      </c>
      <c r="CQ3" t="s">
        <v>253</v>
      </c>
      <c r="CR3" t="s">
        <v>253</v>
      </c>
      <c r="CS3" t="s">
        <v>253</v>
      </c>
      <c r="CT3" t="s">
        <v>253</v>
      </c>
      <c r="CU3" t="s">
        <v>253</v>
      </c>
      <c r="CV3" t="s">
        <v>253</v>
      </c>
      <c r="CW3" t="s">
        <v>253</v>
      </c>
      <c r="CX3" t="s">
        <v>253</v>
      </c>
      <c r="CZ3" t="s">
        <v>269</v>
      </c>
      <c r="DA3" t="s">
        <v>269</v>
      </c>
      <c r="DB3" t="s">
        <v>269</v>
      </c>
      <c r="DC3" t="s">
        <v>269</v>
      </c>
      <c r="DD3" t="s">
        <v>269</v>
      </c>
      <c r="DE3" t="s">
        <v>269</v>
      </c>
      <c r="DF3" t="s">
        <v>269</v>
      </c>
      <c r="DG3" t="s">
        <v>269</v>
      </c>
      <c r="DH3" t="s">
        <v>269</v>
      </c>
      <c r="DI3" t="s">
        <v>269</v>
      </c>
      <c r="DJ3" t="s">
        <v>269</v>
      </c>
      <c r="DK3" t="s">
        <v>269</v>
      </c>
      <c r="DL3" t="s">
        <v>269</v>
      </c>
      <c r="DM3" t="s">
        <v>269</v>
      </c>
      <c r="DN3" t="s">
        <v>269</v>
      </c>
      <c r="DO3" t="s">
        <v>269</v>
      </c>
      <c r="DP3" t="s">
        <v>269</v>
      </c>
      <c r="DQ3" t="s">
        <v>269</v>
      </c>
      <c r="DS3" t="s">
        <v>287</v>
      </c>
      <c r="DT3" t="s">
        <v>287</v>
      </c>
      <c r="DU3" t="s">
        <v>287</v>
      </c>
      <c r="DV3" t="s">
        <v>287</v>
      </c>
      <c r="DW3" t="s">
        <v>287</v>
      </c>
      <c r="DX3" t="s">
        <v>287</v>
      </c>
      <c r="DY3" t="s">
        <v>287</v>
      </c>
      <c r="DZ3" t="s">
        <v>287</v>
      </c>
      <c r="EA3" t="s">
        <v>287</v>
      </c>
      <c r="EB3" t="s">
        <v>287</v>
      </c>
      <c r="EC3" t="s">
        <v>287</v>
      </c>
      <c r="ED3" t="s">
        <v>287</v>
      </c>
      <c r="EE3" t="s">
        <v>287</v>
      </c>
      <c r="EF3" t="s">
        <v>287</v>
      </c>
      <c r="EG3" t="s">
        <v>287</v>
      </c>
      <c r="EI3" t="s">
        <v>302</v>
      </c>
      <c r="EJ3" t="s">
        <v>302</v>
      </c>
      <c r="EK3" t="s">
        <v>302</v>
      </c>
      <c r="EL3" t="s">
        <v>302</v>
      </c>
      <c r="EM3" t="s">
        <v>302</v>
      </c>
      <c r="EN3" t="s">
        <v>302</v>
      </c>
      <c r="EO3" t="s">
        <v>302</v>
      </c>
      <c r="EP3" t="s">
        <v>302</v>
      </c>
      <c r="EQ3" t="s">
        <v>302</v>
      </c>
      <c r="ER3" t="s">
        <v>302</v>
      </c>
      <c r="ES3" t="s">
        <v>302</v>
      </c>
      <c r="EU3" t="s">
        <v>313</v>
      </c>
      <c r="EV3" t="s">
        <v>313</v>
      </c>
      <c r="EW3" t="s">
        <v>313</v>
      </c>
      <c r="EX3" t="s">
        <v>313</v>
      </c>
      <c r="EY3" t="s">
        <v>313</v>
      </c>
      <c r="EZ3" t="s">
        <v>313</v>
      </c>
      <c r="FA3" t="s">
        <v>313</v>
      </c>
      <c r="FB3" t="s">
        <v>313</v>
      </c>
      <c r="FC3" t="s">
        <v>313</v>
      </c>
      <c r="FD3" t="s">
        <v>313</v>
      </c>
      <c r="FE3" t="s">
        <v>313</v>
      </c>
      <c r="FF3" t="s">
        <v>313</v>
      </c>
      <c r="FG3" t="s">
        <v>313</v>
      </c>
      <c r="FH3" t="s">
        <v>313</v>
      </c>
      <c r="FI3" t="s">
        <v>313</v>
      </c>
      <c r="FJ3" t="s">
        <v>313</v>
      </c>
      <c r="FK3" t="s">
        <v>313</v>
      </c>
      <c r="FL3" t="s">
        <v>313</v>
      </c>
      <c r="FM3" t="s">
        <v>313</v>
      </c>
      <c r="FN3" t="s">
        <v>313</v>
      </c>
      <c r="FO3" t="s">
        <v>313</v>
      </c>
      <c r="FP3" t="s">
        <v>313</v>
      </c>
      <c r="FQ3" t="s">
        <v>313</v>
      </c>
      <c r="FS3" t="s">
        <v>336</v>
      </c>
      <c r="FT3" t="s">
        <v>336</v>
      </c>
      <c r="FU3" t="s">
        <v>336</v>
      </c>
      <c r="FV3" t="s">
        <v>336</v>
      </c>
      <c r="FW3" t="s">
        <v>336</v>
      </c>
      <c r="FX3" t="s">
        <v>336</v>
      </c>
      <c r="FY3" t="s">
        <v>336</v>
      </c>
      <c r="FZ3" t="s">
        <v>336</v>
      </c>
      <c r="GA3" t="s">
        <v>336</v>
      </c>
    </row>
    <row r="4" spans="2:183">
      <c r="B4" t="s">
        <v>345</v>
      </c>
      <c r="C4" t="s">
        <v>173</v>
      </c>
      <c r="D4" t="s">
        <v>174</v>
      </c>
      <c r="E4" t="s">
        <v>175</v>
      </c>
      <c r="F4" t="s">
        <v>176</v>
      </c>
      <c r="G4" t="s">
        <v>177</v>
      </c>
      <c r="H4" t="s">
        <v>178</v>
      </c>
      <c r="I4" t="s">
        <v>179</v>
      </c>
      <c r="J4" t="s">
        <v>180</v>
      </c>
      <c r="K4" t="s">
        <v>181</v>
      </c>
      <c r="L4" t="s">
        <v>182</v>
      </c>
      <c r="M4" t="s">
        <v>183</v>
      </c>
      <c r="N4" t="s">
        <v>184</v>
      </c>
      <c r="O4" t="s">
        <v>185</v>
      </c>
      <c r="P4" t="s">
        <v>186</v>
      </c>
      <c r="Q4" t="s">
        <v>187</v>
      </c>
      <c r="R4" t="s">
        <v>188</v>
      </c>
      <c r="S4" t="s">
        <v>189</v>
      </c>
      <c r="T4" t="s">
        <v>190</v>
      </c>
      <c r="U4" t="s">
        <v>191</v>
      </c>
      <c r="V4" t="s">
        <v>192</v>
      </c>
      <c r="W4" t="s">
        <v>193</v>
      </c>
      <c r="X4" t="s">
        <v>194</v>
      </c>
      <c r="Y4" t="s">
        <v>195</v>
      </c>
      <c r="Z4" t="s">
        <v>196</v>
      </c>
      <c r="AA4" t="s">
        <v>197</v>
      </c>
      <c r="AB4" t="s">
        <v>198</v>
      </c>
      <c r="AC4" t="s">
        <v>199</v>
      </c>
      <c r="AD4" t="s">
        <v>200</v>
      </c>
      <c r="AE4" t="s">
        <v>201</v>
      </c>
      <c r="AF4" t="s">
        <v>202</v>
      </c>
      <c r="AG4" t="s">
        <v>203</v>
      </c>
      <c r="AH4" t="s">
        <v>204</v>
      </c>
      <c r="AI4" t="s">
        <v>205</v>
      </c>
      <c r="AJ4" t="s">
        <v>206</v>
      </c>
      <c r="AL4" t="s">
        <v>345</v>
      </c>
      <c r="AM4" t="s">
        <v>208</v>
      </c>
      <c r="AN4" t="s">
        <v>209</v>
      </c>
      <c r="AO4" t="s">
        <v>210</v>
      </c>
      <c r="AP4" t="s">
        <v>211</v>
      </c>
      <c r="AQ4" t="s">
        <v>212</v>
      </c>
      <c r="AR4" t="s">
        <v>213</v>
      </c>
      <c r="AS4" t="s">
        <v>214</v>
      </c>
      <c r="AT4" t="s">
        <v>215</v>
      </c>
      <c r="AU4" t="s">
        <v>216</v>
      </c>
      <c r="AV4" t="s">
        <v>217</v>
      </c>
      <c r="AX4" t="s">
        <v>345</v>
      </c>
      <c r="AY4" t="s">
        <v>219</v>
      </c>
      <c r="AZ4" t="s">
        <v>220</v>
      </c>
      <c r="BA4" t="s">
        <v>221</v>
      </c>
      <c r="BB4" t="s">
        <v>222</v>
      </c>
      <c r="BC4" t="s">
        <v>223</v>
      </c>
      <c r="BD4" t="s">
        <v>224</v>
      </c>
      <c r="BE4" t="s">
        <v>225</v>
      </c>
      <c r="BF4" t="s">
        <v>226</v>
      </c>
      <c r="BG4" t="s">
        <v>227</v>
      </c>
      <c r="BH4" t="s">
        <v>228</v>
      </c>
      <c r="BI4" t="s">
        <v>229</v>
      </c>
      <c r="BJ4" t="s">
        <v>230</v>
      </c>
      <c r="BK4" t="s">
        <v>231</v>
      </c>
      <c r="BL4" t="s">
        <v>232</v>
      </c>
      <c r="BM4" t="s">
        <v>233</v>
      </c>
      <c r="BN4" t="s">
        <v>234</v>
      </c>
      <c r="BO4" t="s">
        <v>235</v>
      </c>
      <c r="BP4" t="s">
        <v>236</v>
      </c>
      <c r="BQ4" t="s">
        <v>237</v>
      </c>
      <c r="BR4" t="s">
        <v>238</v>
      </c>
      <c r="BS4" t="s">
        <v>239</v>
      </c>
      <c r="BT4" t="s">
        <v>240</v>
      </c>
      <c r="BU4" t="s">
        <v>241</v>
      </c>
      <c r="BV4" t="s">
        <v>242</v>
      </c>
      <c r="BW4" t="s">
        <v>243</v>
      </c>
      <c r="BY4" t="s">
        <v>345</v>
      </c>
      <c r="BZ4" t="s">
        <v>245</v>
      </c>
      <c r="CA4" t="s">
        <v>246</v>
      </c>
      <c r="CB4" t="s">
        <v>247</v>
      </c>
      <c r="CC4" t="s">
        <v>248</v>
      </c>
      <c r="CD4" t="s">
        <v>249</v>
      </c>
      <c r="CE4" t="s">
        <v>250</v>
      </c>
      <c r="CF4" t="s">
        <v>251</v>
      </c>
      <c r="CG4" t="s">
        <v>252</v>
      </c>
      <c r="CI4" t="s">
        <v>345</v>
      </c>
      <c r="CJ4" t="s">
        <v>254</v>
      </c>
      <c r="CK4" t="s">
        <v>255</v>
      </c>
      <c r="CL4" t="s">
        <v>256</v>
      </c>
      <c r="CM4" t="s">
        <v>257</v>
      </c>
      <c r="CN4" t="s">
        <v>258</v>
      </c>
      <c r="CO4" t="s">
        <v>259</v>
      </c>
      <c r="CP4" t="s">
        <v>260</v>
      </c>
      <c r="CQ4" t="s">
        <v>261</v>
      </c>
      <c r="CR4" t="s">
        <v>262</v>
      </c>
      <c r="CS4" t="s">
        <v>263</v>
      </c>
      <c r="CT4" t="s">
        <v>264</v>
      </c>
      <c r="CU4" t="s">
        <v>265</v>
      </c>
      <c r="CV4" t="s">
        <v>266</v>
      </c>
      <c r="CW4" t="s">
        <v>267</v>
      </c>
      <c r="CX4" t="s">
        <v>268</v>
      </c>
      <c r="CZ4" t="s">
        <v>345</v>
      </c>
      <c r="DA4" t="s">
        <v>270</v>
      </c>
      <c r="DB4" t="s">
        <v>271</v>
      </c>
      <c r="DC4" t="s">
        <v>272</v>
      </c>
      <c r="DD4" t="s">
        <v>273</v>
      </c>
      <c r="DE4" t="s">
        <v>274</v>
      </c>
      <c r="DF4" t="s">
        <v>275</v>
      </c>
      <c r="DG4" t="s">
        <v>276</v>
      </c>
      <c r="DH4" t="s">
        <v>277</v>
      </c>
      <c r="DI4" t="s">
        <v>278</v>
      </c>
      <c r="DJ4" t="s">
        <v>279</v>
      </c>
      <c r="DK4" t="s">
        <v>280</v>
      </c>
      <c r="DL4" t="s">
        <v>281</v>
      </c>
      <c r="DM4" t="s">
        <v>282</v>
      </c>
      <c r="DN4" t="s">
        <v>283</v>
      </c>
      <c r="DO4" t="s">
        <v>284</v>
      </c>
      <c r="DP4" t="s">
        <v>285</v>
      </c>
      <c r="DQ4" t="s">
        <v>286</v>
      </c>
      <c r="DS4" t="s">
        <v>345</v>
      </c>
      <c r="DT4" t="s">
        <v>288</v>
      </c>
      <c r="DU4" t="s">
        <v>289</v>
      </c>
      <c r="DV4" t="s">
        <v>290</v>
      </c>
      <c r="DW4" t="s">
        <v>291</v>
      </c>
      <c r="DX4" t="s">
        <v>292</v>
      </c>
      <c r="DY4" t="s">
        <v>293</v>
      </c>
      <c r="DZ4" t="s">
        <v>294</v>
      </c>
      <c r="EA4" t="s">
        <v>295</v>
      </c>
      <c r="EB4" t="s">
        <v>296</v>
      </c>
      <c r="EC4" t="s">
        <v>297</v>
      </c>
      <c r="ED4" t="s">
        <v>298</v>
      </c>
      <c r="EE4" t="s">
        <v>299</v>
      </c>
      <c r="EF4" t="s">
        <v>300</v>
      </c>
      <c r="EG4" t="s">
        <v>301</v>
      </c>
      <c r="EI4" t="s">
        <v>345</v>
      </c>
      <c r="EJ4" t="s">
        <v>303</v>
      </c>
      <c r="EK4" t="s">
        <v>304</v>
      </c>
      <c r="EL4" t="s">
        <v>305</v>
      </c>
      <c r="EM4" t="s">
        <v>306</v>
      </c>
      <c r="EN4" t="s">
        <v>307</v>
      </c>
      <c r="EO4" t="s">
        <v>308</v>
      </c>
      <c r="EP4" t="s">
        <v>309</v>
      </c>
      <c r="EQ4" t="s">
        <v>310</v>
      </c>
      <c r="ER4" t="s">
        <v>311</v>
      </c>
      <c r="ES4" t="s">
        <v>312</v>
      </c>
      <c r="EU4" t="s">
        <v>345</v>
      </c>
      <c r="EV4" t="s">
        <v>314</v>
      </c>
      <c r="EW4" t="s">
        <v>315</v>
      </c>
      <c r="EX4" t="s">
        <v>316</v>
      </c>
      <c r="EY4" t="s">
        <v>317</v>
      </c>
      <c r="EZ4" t="s">
        <v>318</v>
      </c>
      <c r="FA4" t="s">
        <v>319</v>
      </c>
      <c r="FB4" t="s">
        <v>320</v>
      </c>
      <c r="FC4" t="s">
        <v>321</v>
      </c>
      <c r="FD4" t="s">
        <v>322</v>
      </c>
      <c r="FE4" t="s">
        <v>323</v>
      </c>
      <c r="FF4" t="s">
        <v>324</v>
      </c>
      <c r="FG4" t="s">
        <v>325</v>
      </c>
      <c r="FH4" t="s">
        <v>326</v>
      </c>
      <c r="FI4" t="s">
        <v>327</v>
      </c>
      <c r="FJ4" t="s">
        <v>328</v>
      </c>
      <c r="FK4" t="s">
        <v>329</v>
      </c>
      <c r="FL4" t="s">
        <v>330</v>
      </c>
      <c r="FM4" t="s">
        <v>331</v>
      </c>
      <c r="FN4" t="s">
        <v>332</v>
      </c>
      <c r="FO4" t="s">
        <v>333</v>
      </c>
      <c r="FP4" t="s">
        <v>334</v>
      </c>
      <c r="FQ4" t="s">
        <v>335</v>
      </c>
      <c r="FS4" t="s">
        <v>345</v>
      </c>
      <c r="FT4" t="s">
        <v>337</v>
      </c>
      <c r="FU4" t="s">
        <v>338</v>
      </c>
      <c r="FV4" t="s">
        <v>339</v>
      </c>
      <c r="FW4" t="s">
        <v>340</v>
      </c>
      <c r="FX4" t="s">
        <v>341</v>
      </c>
      <c r="FY4" t="s">
        <v>342</v>
      </c>
      <c r="FZ4" t="s">
        <v>343</v>
      </c>
      <c r="GA4" t="s">
        <v>344</v>
      </c>
    </row>
    <row r="5" spans="2:183">
      <c r="B5">
        <v>1</v>
      </c>
      <c r="C5">
        <f>_xlfn.XLOOKUP(C$2,Table1[DB ID],Table1[Result],"ZZZZZ")</f>
        <v>0</v>
      </c>
      <c r="D5">
        <f>_xlfn.XLOOKUP(D$2,Table1[DB ID],Table1[Result],"ZZZZZ")</f>
        <v>0</v>
      </c>
      <c r="E5">
        <f>_xlfn.XLOOKUP(E$2,Table1[DB ID],Table1[Result],"ZZZZZ")</f>
        <v>0</v>
      </c>
      <c r="F5">
        <f>_xlfn.XLOOKUP(F$2,Table1[DB ID],Table1[Result],"ZZZZZ")</f>
        <v>0</v>
      </c>
      <c r="G5">
        <f>_xlfn.XLOOKUP(G$2,Table1[DB ID],Table1[Result],"ZZZZZ")</f>
        <v>0</v>
      </c>
      <c r="H5">
        <f>_xlfn.XLOOKUP(H$2,Table1[DB ID],Table1[Result],"ZZZZZ")</f>
        <v>0</v>
      </c>
      <c r="I5">
        <f>_xlfn.XLOOKUP(I$2,Table1[DB ID],Table1[Result],"ZZZZZ")</f>
        <v>0</v>
      </c>
      <c r="J5">
        <f>_xlfn.XLOOKUP(J$2,Table1[DB ID],Table1[Result],"ZZZZZ")</f>
        <v>0</v>
      </c>
      <c r="K5">
        <f>_xlfn.XLOOKUP(K$2,Table1[DB ID],Table1[Result],"ZZZZZ")</f>
        <v>0</v>
      </c>
      <c r="L5">
        <f>_xlfn.XLOOKUP(L$2,Table1[DB ID],Table1[Result],"ZZZZZ")</f>
        <v>0</v>
      </c>
      <c r="M5">
        <f>_xlfn.XLOOKUP(M$2,Table1[DB ID],Table1[Result],"ZZZZZ")</f>
        <v>0</v>
      </c>
      <c r="N5">
        <f>_xlfn.XLOOKUP(N$2,Table1[DB ID],Table1[Result],"ZZZZZ")</f>
        <v>0</v>
      </c>
      <c r="O5">
        <f>_xlfn.XLOOKUP(O$2,Table1[DB ID],Table1[Result],"ZZZZZ")</f>
        <v>0</v>
      </c>
      <c r="P5">
        <f>_xlfn.XLOOKUP(P$2,Table1[DB ID],Table1[Result],"ZZZZZ")</f>
        <v>0</v>
      </c>
      <c r="Q5">
        <f>_xlfn.XLOOKUP(Q$2,Table1[DB ID],Table1[Result],"ZZZZZ")</f>
        <v>0</v>
      </c>
      <c r="R5">
        <f>_xlfn.XLOOKUP(R$2,Table1[DB ID],Table1[Result],"ZZZZZ")</f>
        <v>0</v>
      </c>
      <c r="S5">
        <f>_xlfn.XLOOKUP(S$2,Table1[DB ID],Table1[Result],"ZZZZZ")</f>
        <v>0</v>
      </c>
      <c r="T5">
        <f>_xlfn.XLOOKUP(T$2,Table1[DB ID],Table1[Result],"ZZZZZ")</f>
        <v>0</v>
      </c>
      <c r="U5">
        <f>_xlfn.XLOOKUP(U$2,Table1[DB ID],Table1[Result],"ZZZZZ")</f>
        <v>0</v>
      </c>
      <c r="V5">
        <f>_xlfn.XLOOKUP(V$2,Table1[DB ID],Table1[Result],"ZZZZZ")</f>
        <v>0</v>
      </c>
      <c r="W5">
        <f>_xlfn.XLOOKUP(W$2,Table1[DB ID],Table1[Result],"ZZZZZ")</f>
        <v>0</v>
      </c>
      <c r="X5">
        <f>_xlfn.XLOOKUP(X$2,Table1[DB ID],Table1[Result],"ZZZZZ")</f>
        <v>0</v>
      </c>
      <c r="Y5">
        <f>_xlfn.XLOOKUP(Y$2,Table1[DB ID],Table1[Result],"ZZZZZ")</f>
        <v>0</v>
      </c>
      <c r="Z5">
        <f>_xlfn.XLOOKUP(Z$2,Table1[DB ID],Table1[Result],"ZZZZZ")</f>
        <v>0</v>
      </c>
      <c r="AA5">
        <f>_xlfn.XLOOKUP(AA$2,Table1[DB ID],Table1[Result],"ZZZZZ")</f>
        <v>0</v>
      </c>
      <c r="AB5">
        <f>_xlfn.XLOOKUP(AB$2,Table1[DB ID],Table1[Result],"ZZZZZ")</f>
        <v>0</v>
      </c>
      <c r="AC5">
        <f>_xlfn.XLOOKUP(AC$2,Table1[DB ID],Table1[Result],"ZZZZZ")</f>
        <v>0</v>
      </c>
      <c r="AD5">
        <f>_xlfn.XLOOKUP(AD$2,Table1[DB ID],Table1[Result],"ZZZZZ")</f>
        <v>0</v>
      </c>
      <c r="AE5">
        <f>_xlfn.XLOOKUP(AE$2,Table1[DB ID],Table1[Result],"ZZZZZ")</f>
        <v>0</v>
      </c>
      <c r="AF5">
        <f>_xlfn.XLOOKUP(AF$2,Table1[DB ID],Table1[Result],"ZZZZZ")</f>
        <v>0</v>
      </c>
      <c r="AG5">
        <f>_xlfn.XLOOKUP(AG$2,Table1[DB ID],Table1[Result],"ZZZZZ")</f>
        <v>0</v>
      </c>
      <c r="AH5">
        <f>_xlfn.XLOOKUP(AH$2,Table1[DB ID],Table1[Result],"ZZZZZ")</f>
        <v>0</v>
      </c>
      <c r="AI5">
        <f>_xlfn.XLOOKUP(AI$2,Table1[DB ID],Table1[Result],"ZZZZZ")</f>
        <v>0</v>
      </c>
      <c r="AJ5">
        <f>_xlfn.XLOOKUP(AJ$2,Table1[DB ID],Table1[Result],"ZZZZZ")</f>
        <v>0</v>
      </c>
      <c r="AL5">
        <f>Table3[[#This Row],[company_id]]</f>
        <v>1</v>
      </c>
      <c r="AM5">
        <f>_xlfn.XLOOKUP(AM$2,Table1[DB ID],Table1[Result],"ZZZZZ")</f>
        <v>0</v>
      </c>
      <c r="AN5">
        <f>_xlfn.XLOOKUP(AN$2,Table1[DB ID],Table1[Result],"ZZZZZ")</f>
        <v>0</v>
      </c>
      <c r="AO5">
        <f>_xlfn.XLOOKUP(AO$2,Table1[DB ID],Table1[Result],"ZZZZZ")</f>
        <v>0</v>
      </c>
      <c r="AP5">
        <f>_xlfn.XLOOKUP(AP$2,Table1[DB ID],Table1[Result],"ZZZZZ")</f>
        <v>0</v>
      </c>
      <c r="AQ5">
        <f>_xlfn.XLOOKUP(AQ$2,Table1[DB ID],Table1[Result],"ZZZZZ")</f>
        <v>0</v>
      </c>
      <c r="AR5">
        <f>_xlfn.XLOOKUP(AR$2,Table1[DB ID],Table1[Result],"ZZZZZ")</f>
        <v>0</v>
      </c>
      <c r="AS5">
        <f>_xlfn.XLOOKUP(AS$2,Table1[DB ID],Table1[Result],"ZZZZZ")</f>
        <v>0</v>
      </c>
      <c r="AT5">
        <f>_xlfn.XLOOKUP(AT$2,Table1[DB ID],Table1[Result],"ZZZZZ")</f>
        <v>0</v>
      </c>
      <c r="AU5">
        <f>_xlfn.XLOOKUP(AU$2,Table1[DB ID],Table1[Result],"ZZZZZ")</f>
        <v>0</v>
      </c>
      <c r="AV5">
        <f>_xlfn.XLOOKUP(AV$2,Table1[DB ID],Table1[Result],"ZZZZZ")</f>
        <v>0</v>
      </c>
      <c r="AX5">
        <f>Table3[[#This Row],[company_id]]</f>
        <v>1</v>
      </c>
      <c r="AY5">
        <f>_xlfn.XLOOKUP(AY$2,Table1[DB ID],Table1[Result],"ZZZZZ")</f>
        <v>0</v>
      </c>
      <c r="AZ5">
        <f>_xlfn.XLOOKUP(AZ$2,Table1[DB ID],Table1[Result],"ZZZZZ")</f>
        <v>0</v>
      </c>
      <c r="BA5">
        <f>_xlfn.XLOOKUP(BA$2,Table1[DB ID],Table1[Result],"ZZZZZ")</f>
        <v>0</v>
      </c>
      <c r="BB5">
        <f>_xlfn.XLOOKUP(BB$2,Table1[DB ID],Table1[Result],"ZZZZZ")</f>
        <v>0</v>
      </c>
      <c r="BC5">
        <f>_xlfn.XLOOKUP(BC$2,Table1[DB ID],Table1[Result],"ZZZZZ")</f>
        <v>0</v>
      </c>
      <c r="BD5">
        <f>_xlfn.XLOOKUP(BD$2,Table1[DB ID],Table1[Result],"ZZZZZ")</f>
        <v>0</v>
      </c>
      <c r="BE5">
        <f>_xlfn.XLOOKUP(BE$2,Table1[DB ID],Table1[Result],"ZZZZZ")</f>
        <v>0</v>
      </c>
      <c r="BF5">
        <f>_xlfn.XLOOKUP(BF$2,Table1[DB ID],Table1[Result],"ZZZZZ")</f>
        <v>0</v>
      </c>
      <c r="BG5">
        <f>_xlfn.XLOOKUP(BG$2,Table1[DB ID],Table1[Result],"ZZZZZ")</f>
        <v>0</v>
      </c>
      <c r="BH5">
        <f>_xlfn.XLOOKUP(BH$2,Table1[DB ID],Table1[Result],"ZZZZZ")</f>
        <v>0</v>
      </c>
      <c r="BI5">
        <f>_xlfn.XLOOKUP(BI$2,Table1[DB ID],Table1[Result],"ZZZZZ")</f>
        <v>0</v>
      </c>
      <c r="BJ5">
        <f>_xlfn.XLOOKUP(BJ$2,Table1[DB ID],Table1[Result],"ZZZZZ")</f>
        <v>0</v>
      </c>
      <c r="BK5">
        <f>_xlfn.XLOOKUP(BK$2,Table1[DB ID],Table1[Result],"ZZZZZ")</f>
        <v>0</v>
      </c>
      <c r="BL5">
        <f>_xlfn.XLOOKUP(BL$2,Table1[DB ID],Table1[Result],"ZZZZZ")</f>
        <v>0</v>
      </c>
      <c r="BM5">
        <f>_xlfn.XLOOKUP(BM$2,Table1[DB ID],Table1[Result],"ZZZZZ")</f>
        <v>0</v>
      </c>
      <c r="BN5">
        <f>_xlfn.XLOOKUP(BN$2,Table1[DB ID],Table1[Result],"ZZZZZ")</f>
        <v>0</v>
      </c>
      <c r="BO5">
        <f>_xlfn.XLOOKUP(BO$2,Table1[DB ID],Table1[Result],"ZZZZZ")</f>
        <v>0</v>
      </c>
      <c r="BP5">
        <f>_xlfn.XLOOKUP(BP$2,Table1[DB ID],Table1[Result],"ZZZZZ")</f>
        <v>0</v>
      </c>
      <c r="BQ5">
        <f>_xlfn.XLOOKUP(BQ$2,Table1[DB ID],Table1[Result],"ZZZZZ")</f>
        <v>0</v>
      </c>
      <c r="BR5">
        <f>_xlfn.XLOOKUP(BR$2,Table1[DB ID],Table1[Result],"ZZZZZ")</f>
        <v>0</v>
      </c>
      <c r="BS5">
        <f>_xlfn.XLOOKUP(BS$2,Table1[DB ID],Table1[Result],"ZZZZZ")</f>
        <v>0</v>
      </c>
      <c r="BT5">
        <f>_xlfn.XLOOKUP(BT$2,Table1[DB ID],Table1[Result],"ZZZZZ")</f>
        <v>0</v>
      </c>
      <c r="BU5">
        <f>_xlfn.XLOOKUP(BU$2,Table1[DB ID],Table1[Result],"ZZZZZ")</f>
        <v>0</v>
      </c>
      <c r="BV5">
        <f>_xlfn.XLOOKUP(BV$2,Table1[DB ID],Table1[Result],"ZZZZZ")</f>
        <v>0</v>
      </c>
      <c r="BW5">
        <f>_xlfn.XLOOKUP(BW$2,Table1[DB ID],Table1[Result],"ZZZZZ")</f>
        <v>0</v>
      </c>
      <c r="BY5">
        <f>Table3[[#This Row],[company_id]]</f>
        <v>1</v>
      </c>
      <c r="BZ5">
        <f>_xlfn.XLOOKUP(BZ$2,Table1[DB ID],Table1[Result],"ZZZZZ")</f>
        <v>0</v>
      </c>
      <c r="CA5">
        <f>_xlfn.XLOOKUP(CA$2,Table1[DB ID],Table1[Result],"ZZZZZ")</f>
        <v>0</v>
      </c>
      <c r="CB5">
        <f>_xlfn.XLOOKUP(CB$2,Table1[DB ID],Table1[Result],"ZZZZZ")</f>
        <v>0</v>
      </c>
      <c r="CC5">
        <f>_xlfn.XLOOKUP(CC$2,Table1[DB ID],Table1[Result],"ZZZZZ")</f>
        <v>0</v>
      </c>
      <c r="CD5">
        <f>_xlfn.XLOOKUP(CD$2,Table1[DB ID],Table1[Result],"ZZZZZ")</f>
        <v>0</v>
      </c>
      <c r="CE5">
        <f>_xlfn.XLOOKUP(CE$2,Table1[DB ID],Table1[Result],"ZZZZZ")</f>
        <v>0</v>
      </c>
      <c r="CF5">
        <f>_xlfn.XLOOKUP(CF$2,Table1[DB ID],Table1[Result],"ZZZZZ")</f>
        <v>0</v>
      </c>
      <c r="CG5">
        <f>_xlfn.XLOOKUP(CG$2,Table1[DB ID],Table1[Result],"ZZZZZ")</f>
        <v>0</v>
      </c>
      <c r="CI5">
        <f>Table3[[#This Row],[company_id]]</f>
        <v>1</v>
      </c>
      <c r="CJ5">
        <f>_xlfn.XLOOKUP(CJ$2,Table1[DB ID],Table1[Result],"ZZZZZ")</f>
        <v>0</v>
      </c>
      <c r="CK5">
        <f>_xlfn.XLOOKUP(CK$2,Table1[DB ID],Table1[Result],"ZZZZZ")</f>
        <v>0</v>
      </c>
      <c r="CL5">
        <f>_xlfn.XLOOKUP(CL$2,Table1[DB ID],Table1[Result],"ZZZZZ")</f>
        <v>0</v>
      </c>
      <c r="CM5">
        <f>_xlfn.XLOOKUP(CM$2,Table1[DB ID],Table1[Result],"ZZZZZ")</f>
        <v>0</v>
      </c>
      <c r="CN5">
        <f>_xlfn.XLOOKUP(CN$2,Table1[DB ID],Table1[Result],"ZZZZZ")</f>
        <v>0</v>
      </c>
      <c r="CO5">
        <f>_xlfn.XLOOKUP(CO$2,Table1[DB ID],Table1[Result],"ZZZZZ")</f>
        <v>0</v>
      </c>
      <c r="CP5">
        <f>_xlfn.XLOOKUP(CP$2,Table1[DB ID],Table1[Result],"ZZZZZ")</f>
        <v>0</v>
      </c>
      <c r="CQ5">
        <f>_xlfn.XLOOKUP(CQ$2,Table1[DB ID],Table1[Result],"ZZZZZ")</f>
        <v>0</v>
      </c>
      <c r="CR5">
        <f>_xlfn.XLOOKUP(CR$2,Table1[DB ID],Table1[Result],"ZZZZZ")</f>
        <v>0</v>
      </c>
      <c r="CS5">
        <f>_xlfn.XLOOKUP(CS$2,Table1[DB ID],Table1[Result],"ZZZZZ")</f>
        <v>0</v>
      </c>
      <c r="CT5">
        <f>_xlfn.XLOOKUP(CT$2,Table1[DB ID],Table1[Result],"ZZZZZ")</f>
        <v>0</v>
      </c>
      <c r="CU5">
        <f>_xlfn.XLOOKUP(CU$2,Table1[DB ID],Table1[Result],"ZZZZZ")</f>
        <v>0</v>
      </c>
      <c r="CV5">
        <f>_xlfn.XLOOKUP(CV$2,Table1[DB ID],Table1[Result],"ZZZZZ")</f>
        <v>0</v>
      </c>
      <c r="CW5">
        <f>_xlfn.XLOOKUP(CW$2,Table1[DB ID],Table1[Result],"ZZZZZ")</f>
        <v>0</v>
      </c>
      <c r="CX5">
        <f>_xlfn.XLOOKUP(CX$2,Table1[DB ID],Table1[Result],"ZZZZZ")</f>
        <v>0</v>
      </c>
      <c r="CZ5">
        <f>Table3[[#This Row],[company_id]]</f>
        <v>1</v>
      </c>
      <c r="DA5">
        <f>_xlfn.XLOOKUP(DA$2,Table1[DB ID],Table1[Result],"ZZZZZ")</f>
        <v>0</v>
      </c>
      <c r="DB5">
        <f>_xlfn.XLOOKUP(DB$2,Table1[DB ID],Table1[Result],"ZZZZZ")</f>
        <v>0</v>
      </c>
      <c r="DC5">
        <f>_xlfn.XLOOKUP(DC$2,Table1[DB ID],Table1[Result],"ZZZZZ")</f>
        <v>0</v>
      </c>
      <c r="DD5">
        <f>_xlfn.XLOOKUP(DD$2,Table1[DB ID],Table1[Result],"ZZZZZ")</f>
        <v>0</v>
      </c>
      <c r="DE5">
        <f>_xlfn.XLOOKUP(DE$2,Table1[DB ID],Table1[Result],"ZZZZZ")</f>
        <v>0</v>
      </c>
      <c r="DF5">
        <f>_xlfn.XLOOKUP(DF$2,Table1[DB ID],Table1[Result],"ZZZZZ")</f>
        <v>0</v>
      </c>
      <c r="DG5">
        <f>_xlfn.XLOOKUP(DG$2,Table1[DB ID],Table1[Result],"ZZZZZ")</f>
        <v>0</v>
      </c>
      <c r="DH5">
        <f>_xlfn.XLOOKUP(DH$2,Table1[DB ID],Table1[Result],"ZZZZZ")</f>
        <v>0</v>
      </c>
      <c r="DI5">
        <f>_xlfn.XLOOKUP(DI$2,Table1[DB ID],Table1[Result],"ZZZZZ")</f>
        <v>0</v>
      </c>
      <c r="DJ5">
        <f>_xlfn.XLOOKUP(DJ$2,Table1[DB ID],Table1[Result],"ZZZZZ")</f>
        <v>0</v>
      </c>
      <c r="DK5">
        <f>_xlfn.XLOOKUP(DK$2,Table1[DB ID],Table1[Result],"ZZZZZ")</f>
        <v>0</v>
      </c>
      <c r="DL5">
        <f>_xlfn.XLOOKUP(DL$2,Table1[DB ID],Table1[Result],"ZZZZZ")</f>
        <v>0</v>
      </c>
      <c r="DM5">
        <f>_xlfn.XLOOKUP(DM$2,Table1[DB ID],Table1[Result],"ZZZZZ")</f>
        <v>0</v>
      </c>
      <c r="DN5">
        <f>_xlfn.XLOOKUP(DN$2,Table1[DB ID],Table1[Result],"ZZZZZ")</f>
        <v>0</v>
      </c>
      <c r="DO5">
        <f>_xlfn.XLOOKUP(DO$2,Table1[DB ID],Table1[Result],"ZZZZZ")</f>
        <v>0</v>
      </c>
      <c r="DP5">
        <f>_xlfn.XLOOKUP(DP$2,Table1[DB ID],Table1[Result],"ZZZZZ")</f>
        <v>0</v>
      </c>
      <c r="DQ5">
        <f>_xlfn.XLOOKUP(DQ$2,Table1[DB ID],Table1[Result],"ZZZZZ")</f>
        <v>0</v>
      </c>
      <c r="DS5">
        <f>Table3[[#This Row],[company_id]]</f>
        <v>1</v>
      </c>
      <c r="DT5">
        <f>_xlfn.XLOOKUP(DT$2,Table1[DB ID],Table1[Result],"ZZZZZ")</f>
        <v>0</v>
      </c>
      <c r="DU5">
        <f>_xlfn.XLOOKUP(DU$2,Table1[DB ID],Table1[Result],"ZZZZZ")</f>
        <v>0</v>
      </c>
      <c r="DV5">
        <f>_xlfn.XLOOKUP(DV$2,Table1[DB ID],Table1[Result],"ZZZZZ")</f>
        <v>0</v>
      </c>
      <c r="DW5">
        <f>_xlfn.XLOOKUP(DW$2,Table1[DB ID],Table1[Result],"ZZZZZ")</f>
        <v>0</v>
      </c>
      <c r="DX5">
        <f>_xlfn.XLOOKUP(DX$2,Table1[DB ID],Table1[Result],"ZZZZZ")</f>
        <v>0</v>
      </c>
      <c r="DY5">
        <f>_xlfn.XLOOKUP(DY$2,Table1[DB ID],Table1[Result],"ZZZZZ")</f>
        <v>0</v>
      </c>
      <c r="DZ5">
        <f>_xlfn.XLOOKUP(DZ$2,Table1[DB ID],Table1[Result],"ZZZZZ")</f>
        <v>0</v>
      </c>
      <c r="EA5">
        <f>_xlfn.XLOOKUP(EA$2,Table1[DB ID],Table1[Result],"ZZZZZ")</f>
        <v>0</v>
      </c>
      <c r="EB5">
        <f>_xlfn.XLOOKUP(EB$2,Table1[DB ID],Table1[Result],"ZZZZZ")</f>
        <v>0</v>
      </c>
      <c r="EC5">
        <f>_xlfn.XLOOKUP(EC$2,Table1[DB ID],Table1[Result],"ZZZZZ")</f>
        <v>0</v>
      </c>
      <c r="ED5">
        <f>_xlfn.XLOOKUP(ED$2,Table1[DB ID],Table1[Result],"ZZZZZ")</f>
        <v>0</v>
      </c>
      <c r="EE5">
        <f>_xlfn.XLOOKUP(EE$2,Table1[DB ID],Table1[Result],"ZZZZZ")</f>
        <v>0</v>
      </c>
      <c r="EF5">
        <f>_xlfn.XLOOKUP(EF$2,Table1[DB ID],Table1[Result],"ZZZZZ")</f>
        <v>0</v>
      </c>
      <c r="EG5">
        <f>_xlfn.XLOOKUP(EG$2,Table1[DB ID],Table1[Result],"ZZZZZ")</f>
        <v>0</v>
      </c>
      <c r="EI5">
        <f>Table3[[#This Row],[company_id]]</f>
        <v>1</v>
      </c>
      <c r="EJ5">
        <f>_xlfn.XLOOKUP(EJ$2,Table1[DB ID],Table1[Result],"ZZZZZ")</f>
        <v>0</v>
      </c>
      <c r="EK5">
        <f>_xlfn.XLOOKUP(EK$2,Table1[DB ID],Table1[Result],"ZZZZZ")</f>
        <v>0</v>
      </c>
      <c r="EL5">
        <f>_xlfn.XLOOKUP(EL$2,Table1[DB ID],Table1[Result],"ZZZZZ")</f>
        <v>0</v>
      </c>
      <c r="EM5">
        <f>_xlfn.XLOOKUP(EM$2,Table1[DB ID],Table1[Result],"ZZZZZ")</f>
        <v>0</v>
      </c>
      <c r="EN5">
        <f>_xlfn.XLOOKUP(EN$2,Table1[DB ID],Table1[Result],"ZZZZZ")</f>
        <v>0</v>
      </c>
      <c r="EO5">
        <f>_xlfn.XLOOKUP(EO$2,Table1[DB ID],Table1[Result],"ZZZZZ")</f>
        <v>0</v>
      </c>
      <c r="EP5">
        <f>_xlfn.XLOOKUP(EP$2,Table1[DB ID],Table1[Result],"ZZZZZ")</f>
        <v>0</v>
      </c>
      <c r="EQ5">
        <f>_xlfn.XLOOKUP(EQ$2,Table1[DB ID],Table1[Result],"ZZZZZ")</f>
        <v>0</v>
      </c>
      <c r="ER5">
        <f>_xlfn.XLOOKUP(ER$2,Table1[DB ID],Table1[Result],"ZZZZZ")</f>
        <v>0</v>
      </c>
      <c r="ES5">
        <f>_xlfn.XLOOKUP(ES$2,Table1[DB ID],Table1[Result],"ZZZZZ")</f>
        <v>0</v>
      </c>
      <c r="EU5">
        <f>Table3[[#This Row],[company_id]]</f>
        <v>1</v>
      </c>
      <c r="EV5">
        <f>_xlfn.XLOOKUP(EV$2,Table1[DB ID],Table1[Result],"ZZZZZ")</f>
        <v>0</v>
      </c>
      <c r="EW5">
        <f>_xlfn.XLOOKUP(EW$2,Table1[DB ID],Table1[Result],"ZZZZZ")</f>
        <v>0</v>
      </c>
      <c r="EX5">
        <f>_xlfn.XLOOKUP(EX$2,Table1[DB ID],Table1[Result],"ZZZZZ")</f>
        <v>0</v>
      </c>
      <c r="EY5">
        <f>_xlfn.XLOOKUP(EY$2,Table1[DB ID],Table1[Result],"ZZZZZ")</f>
        <v>0</v>
      </c>
      <c r="EZ5">
        <f>_xlfn.XLOOKUP(EZ$2,Table1[DB ID],Table1[Result],"ZZZZZ")</f>
        <v>0</v>
      </c>
      <c r="FA5">
        <f>_xlfn.XLOOKUP(FA$2,Table1[DB ID],Table1[Result],"ZZZZZ")</f>
        <v>0</v>
      </c>
      <c r="FB5">
        <f>_xlfn.XLOOKUP(FB$2,Table1[DB ID],Table1[Result],"ZZZZZ")</f>
        <v>0</v>
      </c>
      <c r="FC5">
        <f>_xlfn.XLOOKUP(FC$2,Table1[DB ID],Table1[Result],"ZZZZZ")</f>
        <v>0</v>
      </c>
      <c r="FD5">
        <f>_xlfn.XLOOKUP(FD$2,Table1[DB ID],Table1[Result],"ZZZZZ")</f>
        <v>0</v>
      </c>
      <c r="FE5">
        <f>_xlfn.XLOOKUP(FE$2,Table1[DB ID],Table1[Result],"ZZZZZ")</f>
        <v>0</v>
      </c>
      <c r="FF5">
        <f>_xlfn.XLOOKUP(FF$2,Table1[DB ID],Table1[Result],"ZZZZZ")</f>
        <v>0</v>
      </c>
      <c r="FG5">
        <f>_xlfn.XLOOKUP(FG$2,Table1[DB ID],Table1[Result],"ZZZZZ")</f>
        <v>0</v>
      </c>
      <c r="FH5">
        <f>_xlfn.XLOOKUP(FH$2,Table1[DB ID],Table1[Result],"ZZZZZ")</f>
        <v>0</v>
      </c>
      <c r="FI5">
        <f>_xlfn.XLOOKUP(FI$2,Table1[DB ID],Table1[Result],"ZZZZZ")</f>
        <v>0</v>
      </c>
      <c r="FJ5">
        <f>_xlfn.XLOOKUP(FJ$2,Table1[DB ID],Table1[Result],"ZZZZZ")</f>
        <v>0</v>
      </c>
      <c r="FK5">
        <f>_xlfn.XLOOKUP(FK$2,Table1[DB ID],Table1[Result],"ZZZZZ")</f>
        <v>0</v>
      </c>
      <c r="FL5">
        <f>_xlfn.XLOOKUP(FL$2,Table1[DB ID],Table1[Result],"ZZZZZ")</f>
        <v>0</v>
      </c>
      <c r="FM5">
        <f>_xlfn.XLOOKUP(FM$2,Table1[DB ID],Table1[Result],"ZZZZZ")</f>
        <v>0</v>
      </c>
      <c r="FN5">
        <f>_xlfn.XLOOKUP(FN$2,Table1[DB ID],Table1[Result],"ZZZZZ")</f>
        <v>0</v>
      </c>
      <c r="FO5">
        <f>_xlfn.XLOOKUP(FO$2,Table1[DB ID],Table1[Result],"ZZZZZ")</f>
        <v>0</v>
      </c>
      <c r="FP5">
        <f>_xlfn.XLOOKUP(FP$2,Table1[DB ID],Table1[Result],"ZZZZZ")</f>
        <v>0</v>
      </c>
      <c r="FQ5">
        <f>_xlfn.XLOOKUP(FQ$2,Table1[DB ID],Table1[Result],"ZZZZZ")</f>
        <v>0</v>
      </c>
      <c r="FS5">
        <f>Table3[[#This Row],[company_id]]</f>
        <v>1</v>
      </c>
      <c r="FT5">
        <f>_xlfn.XLOOKUP(FT$2,Table1[DB ID],Table1[Result],"ZZZZZ")</f>
        <v>0</v>
      </c>
      <c r="FU5">
        <f>_xlfn.XLOOKUP(FU$2,Table1[DB ID],Table1[Result],"ZZZZZ")</f>
        <v>0</v>
      </c>
      <c r="FV5">
        <f>_xlfn.XLOOKUP(FV$2,Table1[DB ID],Table1[Result],"ZZZZZ")</f>
        <v>0</v>
      </c>
      <c r="FW5">
        <f>_xlfn.XLOOKUP(FW$2,Table1[DB ID],Table1[Result],"ZZZZZ")</f>
        <v>0</v>
      </c>
      <c r="FX5">
        <f>_xlfn.XLOOKUP(FX$2,Table1[DB ID],Table1[Result],"ZZZZZ")</f>
        <v>0</v>
      </c>
      <c r="FY5">
        <f>_xlfn.XLOOKUP(FY$2,Table1[DB ID],Table1[Result],"ZZZZZ")</f>
        <v>0</v>
      </c>
      <c r="FZ5">
        <f>_xlfn.XLOOKUP(FZ$2,Table1[DB ID],Table1[Result],"ZZZZZ")</f>
        <v>0</v>
      </c>
      <c r="GA5">
        <f>_xlfn.XLOOKUP(GA$2,Table1[DB ID],Table1[Result],"ZZZZZ")</f>
        <v>0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2026-01-23T09:25:58Z</dcterms:created>
  <dcterms:modified xsi:type="dcterms:W3CDTF">2026-01-23T14:45:42Z</dcterms:modified>
  <cp:category/>
  <cp:contentStatus/>
</cp:coreProperties>
</file>